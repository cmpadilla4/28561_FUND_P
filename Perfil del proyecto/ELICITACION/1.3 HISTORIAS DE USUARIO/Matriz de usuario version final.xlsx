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9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<sst xmlns="http://schemas.openxmlformats.org/spreadsheetml/2006/main" count="109" uniqueCount="78">
  <si>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</si>
  <si>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</si>
  <si>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</si>
  <si>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</si>
  <si>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</si>
  <si>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</si>
  <si>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</si>
  <si>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</si>
  <si>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</si>
  <si>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</si>
  <si>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</si>
  <si>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</si>
  <si>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</si>
  <si>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</si>
  <si>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</si>
  <si>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</si>
  <si>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Se desconoce si el usuario desea usar el semaforo o si prefiere ir por el puente</t>
  </si>
  <si>
    <t xml:space="preserve">El programa deberá preguntar al usuario por donde desea ir </t>
  </si>
  <si>
    <t>Para activar activar el semaforo cuando sea necesario</t>
  </si>
  <si>
    <t>Para los estudiantes de la Espe</t>
  </si>
  <si>
    <t xml:space="preserve">1. Se pregunta  al usuario si usara el semaforo
2. Si su respuesta es NO el progama se cierra
3.Cuando la respuesta es SI entonces se ejecuta la siguiente parte del menú </t>
  </si>
  <si>
    <t xml:space="preserve">Padilla Christian </t>
  </si>
  <si>
    <t>Alta</t>
  </si>
  <si>
    <t>Terminado</t>
  </si>
  <si>
    <t>Comprobar si la opcion ingresada es valida</t>
  </si>
  <si>
    <t>-</t>
  </si>
  <si>
    <t>Sistema de Prioridad Peatonal</t>
  </si>
  <si>
    <t>REQ002</t>
  </si>
  <si>
    <t xml:space="preserve">No se sabe si debe pasar el semaforo con urgencia o si esperara los ciclos del semaforo </t>
  </si>
  <si>
    <t>El programa debera preguntar si el usuario es una persona en situación de vulnerabilidad, incluyendo adultos mayores, niños, mujeres embarazadas y personas con movilidad reducida</t>
  </si>
  <si>
    <t xml:space="preserve">Para saber dar preferencia y un tiempo apto para que pueda cruzar </t>
  </si>
  <si>
    <t xml:space="preserve">1. Se preguntara la situacion del peaton
2. Si en tal caso el usuario es de uso preferencial entonces el progama se ejecutara dando una alerta de cambio con el semaforo amarillo antes de ser rojo para asi dar paso al peaton
3. Cuando el usuario no sea preferente los ciclo del semaforo sera el normal </t>
  </si>
  <si>
    <t>Padilla Christian</t>
  </si>
  <si>
    <t>Validar la opcion ingresada</t>
  </si>
  <si>
    <t>Control FSM del Semáforo</t>
  </si>
  <si>
    <t>REQ003</t>
  </si>
  <si>
    <t xml:space="preserve">Saber si el usuario logro cruzar toda la avenida General Rumiñahui  </t>
  </si>
  <si>
    <t>El programa debera advertir al usuario que debera esperar a que el semaforo repita el ciclo</t>
  </si>
  <si>
    <t xml:space="preserve">Para evitar que el usuario si no alcanzo a cruzar toda la avenida y se quedo a la mitad tenga precaución y evite intentar cruzar  </t>
  </si>
  <si>
    <r>
      <rPr>
        <sz val="10"/>
        <rFont val="Calibri"/>
        <charset val="134"/>
      </rPr>
      <t>1. Se</t>
    </r>
    <r>
      <rPr>
        <sz val="10"/>
        <color rgb="FF000000"/>
        <rFont val="Calibri"/>
        <charset val="134"/>
      </rPr>
      <t xml:space="preserve"> debera preguntar si el peaton cruzo la avenida por completo
2. Si en tal caso no se alcanzo se debera enviar una alerta al usuario para que tenga precaución y se mostrara elciclo del semaforo hasta que sea rojo nuevamente y el usuario pueda pasar  
3. Cuando el usuario si lograra cruzar exitosamente entonces el programa se concluira para el peaton </t>
    </r>
  </si>
  <si>
    <t>No iniciado</t>
  </si>
  <si>
    <t>Comprobar que el usuario este a salvo</t>
  </si>
  <si>
    <t>Interfaz Visual del Semáforo</t>
  </si>
  <si>
    <t>REQ004</t>
  </si>
  <si>
    <t>El usuario puede pensar que el sistema no registró su solicitud de cruce mientras espera el cambio del semáforo</t>
  </si>
  <si>
    <t>El programa deberá informar al usuario que su solicitud fue registrada y que debe esperar la señal para cruzar</t>
  </si>
  <si>
    <t>Para que el sistema continúe monitoreando solicitudes peatonales y ejecutando tareas simultáneamente sin detener su funcionamiento</t>
  </si>
  <si>
    <t>1. El sistema registrará la solicitud de cruce realizada por el usuario
2. Se mostrará un mensaje indicando que la solicitud fue recibida
3. El usuario será notificado cuando llegue el momento seguro para cruzar</t>
  </si>
  <si>
    <t>En proceso</t>
  </si>
  <si>
    <t>Verificar que el sistema siga funcionando durante solicitudes</t>
  </si>
  <si>
    <t>Monitoreo Continuo del Sistema</t>
  </si>
  <si>
    <t>REQ005</t>
  </si>
  <si>
    <t>El usuario necesita confiar en que el sistema funcione correctamente antes de utilizarlo</t>
  </si>
  <si>
    <t>El programa deberá verificar que todas las funciones del sistema operen correctamente antes de ponerse en funcionamiento</t>
  </si>
  <si>
    <t>Para que el prototipo opere de manera estable, confiable y segura, detectando y corrigiendo posibles errores antes de su implementación final</t>
  </si>
  <si>
    <t>1. Se comprobará que todas las funciones del sistema respondan correctamente
2. Se realizarán pruebas para verificar el correcto funcionamiento del semáforo
3. Se corregirán los posibles errores detectados antes de la implementación</t>
  </si>
  <si>
    <t>Comprobar estabilidad durante múltiples ciclos</t>
  </si>
  <si>
    <t>Pruebas y Validación del Sistema</t>
  </si>
  <si>
    <t>REQ006</t>
  </si>
  <si>
    <t>El usuario necesita que el semáforo funcione correctamente para garantizar un cruce seguro</t>
  </si>
  <si>
    <t>El programa deberá controlar el funcionamiento del semáforo para brindar un cruce seguro a los peatones</t>
  </si>
  <si>
    <t>Para que la comunicación entre el software desarrollado en C++ y la plataforma Arduino funcione y permita ejecutar la lógica de control del semáforo</t>
  </si>
  <si>
    <t>1. Se coordinará el funcionamiento de las luces del semáforo
2. El sistema controlará los tiempos de cambio entre cada señal
3. Se verificará que el cruce peatonal se habilite únicamente cuando sea seguro hacerlo</t>
  </si>
  <si>
    <t>Validar comunicación entre IDE y Arduino</t>
  </si>
  <si>
    <t>Integración Hardware-Software</t>
  </si>
  <si>
    <t>Se verificará que el sistema responda de forma estable y segura en diferentes situaciones.</t>
  </si>
  <si>
    <t xml:space="preserve">Media </t>
  </si>
  <si>
    <t>Baja</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</si>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</sst>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yyyy"/>
  </numFmts>
  <fonts count="36">
    <font>
      <sz val="11"/>
      <color theme="1"/>
      <name val="Arial"/>
      <charset val="134"/>
      <scheme val="minor"/>
    </font>
    <font>
      <b/>
      <sz val="11"/>
      <color theme="1"/>
      <name val="Calibri"/>
      <charset val="134"/>
    </font>
    <font>
      <sz val="11"/>
      <color theme="1"/>
      <name val="Calibri"/>
      <charset val="134"/>
    </font>
    <font>
      <b/>
      <sz val="16"/>
      <color theme="1"/>
      <name val="Calibri"/>
      <charset val="134"/>
    </font>
    <font>
      <sz val="11"/>
      <name val="Arial"/>
      <charset val="134"/>
      <scheme val="minor"/>
    </font>
    <font>
      <sz val="11"/>
      <color theme="1"/>
      <name val="Arial"/>
      <charset val="134"/>
    </font>
    <font>
      <b/>
      <sz val="11"/>
      <color theme="0"/>
      <name val="Calibri"/>
      <charset val="134"/>
    </font>
    <font>
      <b/>
      <sz val="11"/>
      <color rgb="FFFA7D00"/>
      <name val="Calibri"/>
      <charset val="134"/>
    </font>
    <font>
      <sz val="12"/>
      <color theme="1"/>
      <name val="Calibri"/>
      <charset val="134"/>
    </font>
    <font>
      <b/>
      <i/>
      <sz val="12"/>
      <color rgb="FF9C6500"/>
      <name val="Calibri"/>
      <charset val="134"/>
    </font>
    <font>
      <b/>
      <i/>
      <u/>
      <sz val="16"/>
      <color theme="1"/>
      <name val="Calibri"/>
      <charset val="134"/>
    </font>
    <font>
      <b/>
      <i/>
      <sz val="11"/>
      <color rgb="FF9C6500"/>
      <name val="Calibri"/>
      <charset val="134"/>
    </font>
    <font>
      <b/>
      <i/>
      <sz val="11"/>
      <color rgb="FFFF0000"/>
      <name val="Calibri"/>
      <charset val="134"/>
    </font>
    <font>
      <sz val="10"/>
      <color rgb="FF000000"/>
      <name val="Calibri"/>
      <charset val="134"/>
    </font>
    <font>
      <sz val="10"/>
      <name val="Calibri"/>
      <charset val="134"/>
    </font>
    <font>
      <sz val="10"/>
      <color theme="1"/>
      <name val="Calibri"/>
      <charset val="134"/>
    </font>
    <font>
      <sz val="11"/>
      <color rgb="FF000000"/>
      <name val="Arial"/>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0">
    <fill>
      <patternFill patternType="none"/>
    </fill>
    <fill>
      <patternFill patternType="gray125"/>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
      <patternFill patternType="solid">
        <fgColor rgb="FFFFFFCC"/>
        <bgColor rgb="FFFFFFCC"/>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B2B2B2"/>
      </left>
      <right style="thin">
        <color rgb="FFB2B2B2"/>
      </right>
      <top style="thin">
        <color rgb="FFB2B2B2"/>
      </top>
      <bottom/>
      <diagonal/>
    </border>
    <border>
      <left style="thin">
        <color rgb="FF7B7B7B"/>
      </left>
      <right style="thin">
        <color rgb="FF7B7B7B"/>
      </right>
      <top style="thin">
        <color rgb="FF7B7B7B"/>
      </top>
      <bottom/>
      <diagonal/>
    </border>
    <border>
      <left style="thin">
        <color rgb="FF7B7B7B"/>
      </left>
      <right style="thin">
        <color rgb="FF7B7B7B"/>
      </right>
      <top style="thin">
        <color rgb="FF7B7B7B"/>
      </top>
      <bottom style="thin">
        <color rgb="FF7B7B7B"/>
      </bottom>
      <diagonal/>
    </border>
    <border>
      <left style="thin">
        <color rgb="FF7B7B7B"/>
      </left>
      <right/>
      <top style="thin">
        <color rgb="FF7B7B7B"/>
      </top>
      <bottom style="thin">
        <color rgb="FF7B7B7B"/>
      </bottom>
      <diagonal/>
    </border>
    <border>
      <left/>
      <right style="thin">
        <color rgb="FF7B7B7B"/>
      </right>
      <top style="thin">
        <color rgb="FF7B7B7B"/>
      </top>
      <bottom style="thin">
        <color rgb="FF7B7B7B"/>
      </bottom>
      <diagonal/>
    </border>
    <border>
      <left/>
      <right style="thin">
        <color rgb="FF7B7B7B"/>
      </right>
      <top style="thin">
        <color rgb="FF7B7B7B"/>
      </top>
      <bottom/>
      <diagonal/>
    </border>
    <border>
      <left style="thin">
        <color rgb="FF7B7B7B"/>
      </left>
      <right style="thin">
        <color rgb="FF000000"/>
      </right>
      <top style="thin">
        <color rgb="FF7B7B7B"/>
      </top>
      <bottom style="thin">
        <color auto="1"/>
      </bottom>
      <diagonal/>
    </border>
    <border>
      <left style="thin">
        <color rgb="FF7B7B7B"/>
      </left>
      <right style="thin">
        <color rgb="FF000000"/>
      </right>
      <top style="thin">
        <color auto="1"/>
      </top>
      <bottom style="thin">
        <color auto="1"/>
      </bottom>
      <diagonal/>
    </border>
    <border>
      <left style="thin">
        <color rgb="FF7B7B7B"/>
      </left>
      <right style="thin">
        <color rgb="FF7B7B7B"/>
      </right>
      <top style="thin">
        <color rgb="FF7B7B7B"/>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9" borderId="31"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32" applyNumberFormat="0" applyFill="0" applyAlignment="0" applyProtection="0">
      <alignment vertical="center"/>
    </xf>
    <xf numFmtId="0" fontId="23" fillId="0" borderId="32" applyNumberFormat="0" applyFill="0" applyAlignment="0" applyProtection="0">
      <alignment vertical="center"/>
    </xf>
    <xf numFmtId="0" fontId="24" fillId="0" borderId="33" applyNumberFormat="0" applyFill="0" applyAlignment="0" applyProtection="0">
      <alignment vertical="center"/>
    </xf>
    <xf numFmtId="0" fontId="24" fillId="0" borderId="0" applyNumberFormat="0" applyFill="0" applyBorder="0" applyAlignment="0" applyProtection="0">
      <alignment vertical="center"/>
    </xf>
    <xf numFmtId="0" fontId="25" fillId="10" borderId="34" applyNumberFormat="0" applyAlignment="0" applyProtection="0">
      <alignment vertical="center"/>
    </xf>
    <xf numFmtId="0" fontId="26" fillId="11" borderId="35" applyNumberFormat="0" applyAlignment="0" applyProtection="0">
      <alignment vertical="center"/>
    </xf>
    <xf numFmtId="0" fontId="27" fillId="11" borderId="34" applyNumberFormat="0" applyAlignment="0" applyProtection="0">
      <alignment vertical="center"/>
    </xf>
    <xf numFmtId="0" fontId="28" fillId="12" borderId="36" applyNumberFormat="0" applyAlignment="0" applyProtection="0">
      <alignment vertical="center"/>
    </xf>
    <xf numFmtId="0" fontId="29" fillId="0" borderId="37" applyNumberFormat="0" applyFill="0" applyAlignment="0" applyProtection="0">
      <alignment vertical="center"/>
    </xf>
    <xf numFmtId="0" fontId="30" fillId="0" borderId="38" applyNumberFormat="0" applyFill="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0" fontId="35" fillId="37" borderId="0" applyNumberFormat="0" applyBorder="0" applyAlignment="0" applyProtection="0">
      <alignment vertical="center"/>
    </xf>
    <xf numFmtId="0" fontId="35" fillId="38" borderId="0" applyNumberFormat="0" applyBorder="0" applyAlignment="0" applyProtection="0">
      <alignment vertical="center"/>
    </xf>
    <xf numFmtId="0" fontId="34" fillId="39" borderId="0" applyNumberFormat="0" applyBorder="0" applyAlignment="0" applyProtection="0">
      <alignment vertical="center"/>
    </xf>
  </cellStyleXfs>
  <cellXfs count="74">
    <xf numFmtId="0" fontId="0" fillId="0" borderId="0" xfId="0" applyFont="1" applyAlignment="1"/>
    <xf numFmtId="0" fontId="1" fillId="0" borderId="0" xfId="0" applyFont="1" applyAlignment="1">
      <alignment horizontal="left" vertical="center" wrapText="1"/>
    </xf>
    <xf numFmtId="0" fontId="2" fillId="0" borderId="0" xfId="0" applyFont="1"/>
    <xf numFmtId="0" fontId="3" fillId="2" borderId="1" xfId="0" applyFont="1" applyFill="1" applyBorder="1" applyAlignment="1">
      <alignment horizontal="center" vertical="center" wrapText="1"/>
    </xf>
    <xf numFmtId="0" fontId="4" fillId="0" borderId="2" xfId="0" applyFont="1" applyBorder="1"/>
    <xf numFmtId="0" fontId="4" fillId="0" borderId="3" xfId="0" applyFont="1" applyBorder="1"/>
    <xf numFmtId="0" fontId="1" fillId="0" borderId="0" xfId="0" applyFont="1" applyAlignment="1">
      <alignment horizontal="center" vertical="center" wrapText="1"/>
    </xf>
    <xf numFmtId="0" fontId="5" fillId="2" borderId="4" xfId="0" applyFont="1" applyFill="1" applyBorder="1"/>
    <xf numFmtId="0" fontId="1" fillId="2" borderId="5" xfId="0" applyFont="1" applyFill="1" applyBorder="1" applyAlignment="1">
      <alignment horizontal="left" vertical="center" wrapText="1"/>
    </xf>
    <xf numFmtId="0" fontId="2" fillId="2" borderId="5" xfId="0" applyFont="1" applyFill="1" applyBorder="1"/>
    <xf numFmtId="0" fontId="5" fillId="2" borderId="5" xfId="0" applyFont="1" applyFill="1" applyBorder="1"/>
    <xf numFmtId="0" fontId="5" fillId="2" borderId="6" xfId="0" applyFont="1" applyFill="1" applyBorder="1"/>
    <xf numFmtId="0" fontId="5" fillId="2" borderId="7" xfId="0" applyFont="1" applyFill="1" applyBorder="1"/>
    <xf numFmtId="0" fontId="6" fillId="3" borderId="8" xfId="0" applyFont="1" applyFill="1" applyBorder="1" applyAlignment="1">
      <alignment horizontal="center" vertical="center"/>
    </xf>
    <xf numFmtId="0" fontId="7" fillId="2" borderId="0" xfId="0" applyFont="1" applyFill="1" applyBorder="1" applyAlignment="1">
      <alignment vertical="center"/>
    </xf>
    <xf numFmtId="0" fontId="6" fillId="3" borderId="1" xfId="0" applyFont="1" applyFill="1" applyBorder="1" applyAlignment="1">
      <alignment horizontal="center" vertical="center"/>
    </xf>
    <xf numFmtId="0" fontId="5" fillId="2" borderId="0" xfId="0" applyFont="1" applyFill="1" applyBorder="1"/>
    <xf numFmtId="0" fontId="5" fillId="2" borderId="9" xfId="0" applyFont="1" applyFill="1" applyBorder="1"/>
    <xf numFmtId="0" fontId="8" fillId="4" borderId="8" xfId="0" applyFont="1" applyFill="1" applyBorder="1" applyAlignment="1">
      <alignment horizontal="center" vertical="center"/>
    </xf>
    <xf numFmtId="0" fontId="2" fillId="2" borderId="0" xfId="0" applyFont="1" applyFill="1" applyBorder="1" applyAlignment="1">
      <alignment vertical="center" wrapText="1"/>
    </xf>
    <xf numFmtId="0" fontId="2" fillId="4" borderId="1" xfId="0" applyFont="1" applyFill="1" applyBorder="1" applyAlignment="1">
      <alignment horizontal="center" vertical="center"/>
    </xf>
    <xf numFmtId="0" fontId="2" fillId="2" borderId="0" xfId="0" applyFont="1" applyFill="1" applyBorder="1" applyAlignment="1">
      <alignment vertical="center"/>
    </xf>
    <xf numFmtId="0" fontId="8" fillId="2" borderId="0" xfId="0" applyFont="1" applyFill="1" applyBorder="1" applyAlignment="1">
      <alignment horizontal="center" vertical="center"/>
    </xf>
    <xf numFmtId="0" fontId="2" fillId="2" borderId="0" xfId="0" applyFont="1" applyFill="1" applyBorder="1" applyAlignment="1">
      <alignment horizontal="center" vertical="center"/>
    </xf>
    <xf numFmtId="0" fontId="6" fillId="5" borderId="10" xfId="0" applyFont="1" applyFill="1" applyBorder="1" applyAlignment="1">
      <alignment horizontal="center" vertical="center"/>
    </xf>
    <xf numFmtId="0" fontId="2" fillId="4" borderId="4" xfId="0" applyFont="1" applyFill="1" applyBorder="1" applyAlignment="1">
      <alignment horizontal="center" vertical="center" wrapText="1"/>
    </xf>
    <xf numFmtId="0" fontId="4" fillId="0" borderId="6" xfId="0" applyFont="1" applyBorder="1"/>
    <xf numFmtId="0" fontId="4" fillId="0" borderId="5" xfId="0" applyFont="1" applyBorder="1"/>
    <xf numFmtId="0" fontId="2" fillId="4" borderId="4" xfId="0" applyFont="1" applyFill="1" applyBorder="1" applyAlignment="1">
      <alignment horizontal="center" vertical="center"/>
    </xf>
    <xf numFmtId="0" fontId="4" fillId="0" borderId="11" xfId="0" applyFont="1" applyBorder="1"/>
    <xf numFmtId="0" fontId="4" fillId="0" borderId="7" xfId="0" applyFont="1" applyBorder="1"/>
    <xf numFmtId="0" fontId="4" fillId="0" borderId="9" xfId="0" applyFont="1" applyBorder="1"/>
    <xf numFmtId="0" fontId="4" fillId="0" borderId="12" xfId="0" applyFont="1" applyBorder="1"/>
    <xf numFmtId="0" fontId="4" fillId="0" borderId="13" xfId="0" applyFont="1" applyBorder="1"/>
    <xf numFmtId="0" fontId="4" fillId="0" borderId="14" xfId="0" applyFont="1" applyBorder="1"/>
    <xf numFmtId="0" fontId="4" fillId="0" borderId="15" xfId="0" applyFont="1" applyBorder="1"/>
    <xf numFmtId="0" fontId="9" fillId="6" borderId="4" xfId="0" applyFont="1" applyFill="1" applyBorder="1" applyAlignment="1">
      <alignment horizontal="center" vertical="center"/>
    </xf>
    <xf numFmtId="0" fontId="8" fillId="7" borderId="16" xfId="0" applyFont="1" applyFill="1" applyBorder="1" applyAlignment="1">
      <alignment horizontal="center" vertical="center"/>
    </xf>
    <xf numFmtId="0" fontId="4" fillId="0" borderId="17" xfId="0" applyFont="1" applyBorder="1"/>
    <xf numFmtId="0" fontId="4" fillId="0" borderId="18" xfId="0" applyFont="1" applyBorder="1"/>
    <xf numFmtId="0" fontId="4" fillId="0" borderId="19" xfId="0" applyFont="1" applyBorder="1"/>
    <xf numFmtId="0" fontId="4" fillId="0" borderId="20" xfId="0" applyFont="1" applyBorder="1"/>
    <xf numFmtId="0" fontId="4" fillId="0" borderId="21" xfId="0" applyFont="1" applyBorder="1"/>
    <xf numFmtId="0" fontId="6" fillId="3" borderId="4" xfId="0" applyFont="1" applyFill="1" applyBorder="1" applyAlignment="1">
      <alignment horizontal="center" vertical="center"/>
    </xf>
    <xf numFmtId="0" fontId="5" fillId="2" borderId="13" xfId="0" applyFont="1" applyFill="1" applyBorder="1"/>
    <xf numFmtId="0" fontId="5" fillId="2" borderId="15" xfId="0" applyFont="1" applyFill="1" applyBorder="1"/>
    <xf numFmtId="0" fontId="5" fillId="2" borderId="14" xfId="0" applyFont="1" applyFill="1" applyBorder="1"/>
    <xf numFmtId="0" fontId="2" fillId="0" borderId="0" xfId="0" applyFont="1" applyAlignment="1">
      <alignment horizontal="center" vertical="center"/>
    </xf>
    <xf numFmtId="0" fontId="2" fillId="0" borderId="0" xfId="0" applyFont="1" applyAlignment="1">
      <alignment horizontal="center"/>
    </xf>
    <xf numFmtId="0" fontId="5" fillId="0" borderId="0" xfId="0" applyFont="1" applyAlignment="1">
      <alignment horizontal="center" vertical="center"/>
    </xf>
    <xf numFmtId="0" fontId="10" fillId="0" borderId="0" xfId="0" applyFont="1" applyAlignment="1">
      <alignment horizontal="center" vertical="center"/>
    </xf>
    <xf numFmtId="0" fontId="11" fillId="7" borderId="22" xfId="0" applyFont="1" applyFill="1" applyBorder="1" applyAlignment="1">
      <alignment horizontal="center" vertical="center" wrapText="1"/>
    </xf>
    <xf numFmtId="0" fontId="12" fillId="7" borderId="22" xfId="0" applyFont="1" applyFill="1" applyBorder="1" applyAlignment="1">
      <alignment horizontal="center" vertical="center" wrapText="1"/>
    </xf>
    <xf numFmtId="0" fontId="13" fillId="0" borderId="23" xfId="0" applyFont="1" applyBorder="1" applyAlignment="1">
      <alignment vertical="center" wrapText="1"/>
    </xf>
    <xf numFmtId="0" fontId="13" fillId="0" borderId="24" xfId="0" applyFont="1" applyBorder="1" applyAlignment="1">
      <alignment vertical="center" wrapText="1"/>
    </xf>
    <xf numFmtId="0" fontId="13" fillId="8" borderId="24" xfId="0" applyFont="1" applyFill="1" applyBorder="1" applyAlignment="1">
      <alignment vertical="center" wrapText="1"/>
    </xf>
    <xf numFmtId="178" fontId="13" fillId="0" borderId="24" xfId="0" applyNumberFormat="1" applyFont="1" applyBorder="1" applyAlignment="1">
      <alignment vertical="center" wrapText="1"/>
    </xf>
    <xf numFmtId="0" fontId="13" fillId="0" borderId="25" xfId="0" applyFont="1" applyBorder="1" applyAlignment="1">
      <alignment vertical="center" wrapText="1"/>
    </xf>
    <xf numFmtId="0" fontId="13" fillId="0" borderId="8" xfId="0" applyFont="1" applyBorder="1" applyAlignment="1">
      <alignment vertical="center" wrapText="1"/>
    </xf>
    <xf numFmtId="0" fontId="13" fillId="0" borderId="26" xfId="0" applyFont="1" applyBorder="1" applyAlignment="1">
      <alignment vertical="center" wrapText="1"/>
    </xf>
    <xf numFmtId="0" fontId="5" fillId="0" borderId="0" xfId="0" applyFont="1" applyAlignment="1">
      <alignment vertical="center"/>
    </xf>
    <xf numFmtId="0" fontId="13" fillId="0" borderId="27" xfId="0" applyFont="1" applyBorder="1" applyAlignment="1">
      <alignment vertical="center" wrapText="1"/>
    </xf>
    <xf numFmtId="0" fontId="14" fillId="0" borderId="24" xfId="0" applyFont="1" applyBorder="1" applyAlignment="1">
      <alignment vertical="center" wrapText="1"/>
    </xf>
    <xf numFmtId="178" fontId="13" fillId="0" borderId="23" xfId="0" applyNumberFormat="1" applyFont="1" applyBorder="1" applyAlignment="1">
      <alignment vertical="center" wrapText="1"/>
    </xf>
    <xf numFmtId="0" fontId="15" fillId="0" borderId="28" xfId="0" applyFont="1" applyBorder="1" applyAlignment="1">
      <alignment wrapText="1"/>
    </xf>
    <xf numFmtId="0" fontId="15" fillId="0" borderId="29" xfId="0" applyFont="1" applyBorder="1" applyAlignment="1">
      <alignment wrapText="1"/>
    </xf>
    <xf numFmtId="178" fontId="13" fillId="0" borderId="8" xfId="0" applyNumberFormat="1" applyFont="1" applyBorder="1" applyAlignment="1">
      <alignment vertical="center" wrapText="1"/>
    </xf>
    <xf numFmtId="0" fontId="13" fillId="0" borderId="30" xfId="0" applyFont="1" applyBorder="1" applyAlignment="1">
      <alignment vertical="center" wrapText="1"/>
    </xf>
    <xf numFmtId="178" fontId="13" fillId="0" borderId="30" xfId="0" applyNumberFormat="1" applyFont="1" applyBorder="1" applyAlignment="1">
      <alignment vertical="center" wrapText="1"/>
    </xf>
    <xf numFmtId="0" fontId="5" fillId="0" borderId="0" xfId="0" applyFont="1"/>
    <xf numFmtId="0" fontId="0" fillId="0" borderId="0" xfId="0"/>
    <xf numFmtId="0" fontId="16" fillId="0" borderId="0" xfId="0" applyFont="1" applyAlignment="1">
      <alignment horizontal="center"/>
    </xf>
    <xf numFmtId="0" fontId="2" fillId="0" borderId="8" xfId="0" applyFont="1" applyBorder="1" applyAlignment="1">
      <alignment horizontal="center"/>
    </xf>
    <xf numFmtId="0" fontId="2" fillId="0" borderId="8" xfId="0" applyFont="1" applyBorder="1" applyAlignment="1">
      <alignment horizontal="center" vertical="center"/>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20">
    <dxf>
      <font>
        <color rgb="FF9C0006"/>
      </font>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552450</xdr:colOff>
      <xdr:row>8</xdr:row>
      <xdr:rowOff>266700</xdr:rowOff>
    </xdr:from>
    <xdr:ext cx="1066800" cy="1162050"/>
    <xdr:pic>
      <xdr:nvPicPr>
        <xdr:cNvPr id="2" name="image2.jpg"/>
        <xdr:cNvPicPr preferRelativeResize="0"/>
      </xdr:nvPicPr>
      <xdr:blipFill>
        <a:blip r:embed="rId1" cstate="print"/>
        <a:stretch>
          <a:fillRect/>
        </a:stretch>
      </xdr:blipFill>
      <xdr:spPr>
        <a:xfrm>
          <a:off x="10380980" y="1209675"/>
          <a:ext cx="1066800" cy="1162050"/>
        </a:xfrm>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1.jpg"/>
        <xdr:cNvPicPr preferRelativeResize="0"/>
      </xdr:nvPicPr>
      <xdr:blipFill>
        <a:blip r:embed="rId2" cstate="print"/>
        <a:stretch>
          <a:fillRect/>
        </a:stretch>
      </xdr:blipFill>
      <xdr:spPr>
        <a:xfrm>
          <a:off x="8427085" y="1209675"/>
          <a:ext cx="1095375" cy="11620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1.s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0"/>
  <sheetViews>
    <sheetView showGridLines="0" tabSelected="1" zoomScale="90" zoomScaleNormal="90" workbookViewId="0">
      <selection activeCell="E8" sqref="E8"/>
    </sheetView>
  </sheetViews>
  <sheetFormatPr defaultColWidth="12.6333333333333" defaultRowHeight="15" customHeight="1"/>
  <cols>
    <col min="1" max="1" width="4.63333333333333" customWidth="1"/>
    <col min="2" max="2" width="8.13333333333333" customWidth="1"/>
    <col min="3" max="3" width="20.6333333333333" customWidth="1"/>
    <col min="4" max="4" width="24.45" customWidth="1"/>
    <col min="5" max="5" width="25.55" customWidth="1"/>
    <col min="6" max="6" width="10.6333333333333" customWidth="1"/>
    <col min="7" max="7" width="55.5583333333333" customWidth="1"/>
    <col min="8" max="12" width="10.6333333333333" customWidth="1"/>
    <col min="13" max="13" width="32.5" customWidth="1"/>
    <col min="14" max="15" width="20.6333333333333" customWidth="1"/>
    <col min="16" max="26" width="9.38333333333333" customWidth="1"/>
  </cols>
  <sheetData>
    <row r="1" spans="1:26">
      <c r="I1" s="47"/>
      <c r="J1" s="47"/>
      <c r="K1" s="48"/>
      <c r="L1" s="49"/>
    </row>
    <row r="2" spans="1:26">
      <c r="I2" s="47"/>
      <c r="J2" s="47"/>
      <c r="K2" s="48"/>
      <c r="L2" s="49"/>
    </row>
    <row r="3" ht="45" customHeight="1" spans="1:26">
      <c r="B3" s="50" t="s">
        <v>0</v>
      </c>
    </row>
    <row r="4" ht="5.25" customHeight="1" spans="1:26">
      <c r="H4" s="2"/>
      <c r="I4" s="47"/>
      <c r="J4" s="47"/>
      <c r="K4" s="48"/>
      <c r="L4" s="49"/>
    </row>
    <row r="5" ht="78.75" customHeight="1" spans="1:26">
      <c r="B5" s="51" t="s">
        <v>1</v>
      </c>
      <c r="C5" s="51" t="s">
        <v>2</v>
      </c>
      <c r="D5" s="52" t="s">
        <v>3</v>
      </c>
      <c r="E5" s="51" t="s">
        <v>4</v>
      </c>
      <c r="F5" s="51" t="s">
        <v>5</v>
      </c>
      <c r="G5" s="51" t="s">
        <v>6</v>
      </c>
      <c r="H5" s="51" t="s">
        <v>7</v>
      </c>
      <c r="I5" s="51" t="s">
        <v>8</v>
      </c>
      <c r="J5" s="51" t="s">
        <v>9</v>
      </c>
      <c r="K5" s="51" t="s">
        <v>10</v>
      </c>
      <c r="L5" s="51" t="s">
        <v>11</v>
      </c>
      <c r="M5" s="51" t="s">
        <v>12</v>
      </c>
      <c r="N5" s="51" t="s">
        <v>13</v>
      </c>
      <c r="O5" s="51" t="s">
        <v>14</v>
      </c>
    </row>
    <row r="6" ht="72" customHeight="1" spans="1:26">
      <c r="B6" s="53" t="s">
        <v>15</v>
      </c>
      <c r="C6" s="54" t="s">
        <v>16</v>
      </c>
      <c r="D6" s="55" t="s">
        <v>17</v>
      </c>
      <c r="E6" s="54" t="s">
        <v>18</v>
      </c>
      <c r="F6" s="54" t="s">
        <v>19</v>
      </c>
      <c r="G6" s="54" t="s">
        <v>20</v>
      </c>
      <c r="H6" s="54" t="s">
        <v>21</v>
      </c>
      <c r="I6" s="54">
        <v>5</v>
      </c>
      <c r="J6" s="56">
        <v>46160</v>
      </c>
      <c r="K6" s="57" t="s">
        <v>22</v>
      </c>
      <c r="L6" s="58" t="s">
        <v>23</v>
      </c>
      <c r="M6" s="59" t="s">
        <v>24</v>
      </c>
      <c r="N6" s="54" t="s">
        <v>25</v>
      </c>
      <c r="O6" s="54" t="s">
        <v>26</v>
      </c>
    </row>
    <row r="7" ht="103.5" customHeight="1" spans="1:26">
      <c r="B7" s="53" t="s">
        <v>27</v>
      </c>
      <c r="C7" s="54" t="s">
        <v>28</v>
      </c>
      <c r="D7" s="54" t="s">
        <v>29</v>
      </c>
      <c r="E7" s="54" t="s">
        <v>30</v>
      </c>
      <c r="F7" s="54" t="s">
        <v>19</v>
      </c>
      <c r="G7" s="54" t="s">
        <v>31</v>
      </c>
      <c r="H7" s="54" t="s">
        <v>32</v>
      </c>
      <c r="I7" s="54">
        <v>6</v>
      </c>
      <c r="J7" s="56">
        <v>46162</v>
      </c>
      <c r="K7" s="54" t="s">
        <v>22</v>
      </c>
      <c r="L7" s="54" t="s">
        <v>23</v>
      </c>
      <c r="M7" s="54" t="s">
        <v>33</v>
      </c>
      <c r="N7" s="54" t="s">
        <v>25</v>
      </c>
      <c r="O7" s="54" t="s">
        <v>34</v>
      </c>
    </row>
    <row r="8" ht="124.5" customHeight="1" spans="1:26">
      <c r="A8" s="60"/>
      <c r="B8" s="53" t="s">
        <v>35</v>
      </c>
      <c r="C8" s="61" t="s">
        <v>36</v>
      </c>
      <c r="D8" s="55" t="s">
        <v>37</v>
      </c>
      <c r="E8" s="53" t="s">
        <v>38</v>
      </c>
      <c r="F8" s="54" t="s">
        <v>19</v>
      </c>
      <c r="G8" s="62" t="s">
        <v>39</v>
      </c>
      <c r="H8" s="53" t="s">
        <v>32</v>
      </c>
      <c r="I8" s="53">
        <v>4</v>
      </c>
      <c r="J8" s="63">
        <v>46165</v>
      </c>
      <c r="K8" s="54" t="s">
        <v>22</v>
      </c>
      <c r="L8" s="54" t="s">
        <v>40</v>
      </c>
      <c r="M8" s="53" t="s">
        <v>41</v>
      </c>
      <c r="N8" s="58" t="s">
        <v>25</v>
      </c>
      <c r="O8" s="53" t="s">
        <v>42</v>
      </c>
      <c r="P8" s="60"/>
      <c r="Q8" s="60"/>
      <c r="R8" s="60"/>
      <c r="S8" s="60"/>
      <c r="T8" s="60"/>
      <c r="U8" s="60"/>
      <c r="V8" s="60"/>
      <c r="W8" s="60"/>
      <c r="X8" s="60"/>
      <c r="Y8" s="60"/>
      <c r="Z8" s="60"/>
    </row>
    <row r="9" ht="78" customHeight="1" spans="1:26">
      <c r="B9" s="53" t="s">
        <v>43</v>
      </c>
      <c r="C9" s="58" t="s">
        <v>44</v>
      </c>
      <c r="D9" s="58" t="s">
        <v>45</v>
      </c>
      <c r="E9" s="58" t="s">
        <v>46</v>
      </c>
      <c r="F9" s="54" t="s">
        <v>19</v>
      </c>
      <c r="G9" s="64" t="s">
        <v>47</v>
      </c>
      <c r="H9" s="58" t="s">
        <v>32</v>
      </c>
      <c r="I9" s="58">
        <v>7</v>
      </c>
      <c r="J9" s="63">
        <v>46167</v>
      </c>
      <c r="K9" s="54" t="s">
        <v>22</v>
      </c>
      <c r="L9" s="54" t="s">
        <v>48</v>
      </c>
      <c r="M9" s="58" t="s">
        <v>49</v>
      </c>
      <c r="N9" s="58" t="s">
        <v>25</v>
      </c>
      <c r="O9" s="58" t="s">
        <v>50</v>
      </c>
    </row>
    <row r="10" ht="78" customHeight="1" spans="1:26">
      <c r="B10" s="53" t="s">
        <v>51</v>
      </c>
      <c r="C10" s="58" t="s">
        <v>52</v>
      </c>
      <c r="D10" s="58" t="s">
        <v>53</v>
      </c>
      <c r="E10" s="58" t="s">
        <v>54</v>
      </c>
      <c r="F10" s="54" t="s">
        <v>19</v>
      </c>
      <c r="G10" s="65" t="s">
        <v>55</v>
      </c>
      <c r="H10" s="58" t="s">
        <v>32</v>
      </c>
      <c r="I10" s="58">
        <v>5</v>
      </c>
      <c r="J10" s="66">
        <v>46171</v>
      </c>
      <c r="K10" s="54" t="s">
        <v>22</v>
      </c>
      <c r="L10" s="54" t="s">
        <v>23</v>
      </c>
      <c r="M10" s="58" t="s">
        <v>56</v>
      </c>
      <c r="N10" s="58" t="s">
        <v>25</v>
      </c>
      <c r="O10" s="58" t="s">
        <v>57</v>
      </c>
    </row>
    <row r="11" ht="66" customHeight="1" spans="1:26">
      <c r="B11" s="67" t="s">
        <v>58</v>
      </c>
      <c r="C11" s="58" t="s">
        <v>59</v>
      </c>
      <c r="D11" s="58" t="s">
        <v>60</v>
      </c>
      <c r="E11" s="58" t="s">
        <v>61</v>
      </c>
      <c r="F11" s="54" t="s">
        <v>19</v>
      </c>
      <c r="G11" s="65" t="s">
        <v>62</v>
      </c>
      <c r="H11" s="58" t="s">
        <v>32</v>
      </c>
      <c r="I11" s="58">
        <v>6</v>
      </c>
      <c r="J11" s="68">
        <v>46166</v>
      </c>
      <c r="K11" s="67" t="s">
        <v>22</v>
      </c>
      <c r="L11" s="58" t="s">
        <v>23</v>
      </c>
      <c r="M11" s="58" t="s">
        <v>63</v>
      </c>
      <c r="N11" s="58" t="s">
        <v>25</v>
      </c>
      <c r="O11" s="58" t="s">
        <v>64</v>
      </c>
      <c r="P11" s="69"/>
    </row>
    <row r="12" ht="72" customHeight="1" spans="1:26">
      <c r="B12" s="69"/>
      <c r="G12" s="70"/>
    </row>
    <row r="13" ht="65.25" customHeight="1" spans="1:26">
      <c r="G13" s="70"/>
      <c r="I13" s="47"/>
      <c r="J13" s="47"/>
      <c r="K13" s="71"/>
      <c r="L13" s="49"/>
    </row>
    <row r="14" ht="64.5" customHeight="1" spans="1:26">
      <c r="G14" s="70" t="s">
        <v>65</v>
      </c>
      <c r="I14" s="47"/>
      <c r="J14" s="47"/>
      <c r="K14" s="71"/>
      <c r="L14" s="49"/>
    </row>
    <row r="15" ht="39.75" customHeight="1" spans="1:26">
      <c r="I15" s="47"/>
      <c r="J15" s="47"/>
      <c r="K15" s="48"/>
      <c r="L15" s="49"/>
    </row>
    <row r="16" ht="39.75" customHeight="1" spans="1:26">
      <c r="I16" s="47"/>
      <c r="J16" s="47"/>
      <c r="K16" s="48"/>
      <c r="L16" s="49"/>
    </row>
    <row r="17" ht="39.75" customHeight="1" spans="9:13">
      <c r="I17" s="47"/>
      <c r="J17" s="47"/>
      <c r="K17" s="48"/>
      <c r="L17" s="49"/>
    </row>
    <row r="18" ht="19.5" customHeight="1" spans="9:13">
      <c r="I18" s="47"/>
      <c r="J18" s="47"/>
      <c r="K18" s="72" t="s">
        <v>22</v>
      </c>
      <c r="L18" s="73" t="s">
        <v>40</v>
      </c>
      <c r="M18" s="2"/>
    </row>
    <row r="19" ht="19.5" customHeight="1" spans="9:13">
      <c r="I19" s="47"/>
      <c r="J19" s="47"/>
      <c r="K19" s="72" t="s">
        <v>66</v>
      </c>
      <c r="L19" s="73" t="s">
        <v>48</v>
      </c>
      <c r="M19" s="2"/>
    </row>
    <row r="20" ht="19.5" customHeight="1" spans="9:13">
      <c r="I20" s="47"/>
      <c r="J20" s="47"/>
      <c r="K20" s="72" t="s">
        <v>67</v>
      </c>
      <c r="L20" s="73" t="s">
        <v>23</v>
      </c>
      <c r="M20" s="2"/>
    </row>
    <row r="21" ht="19.5" customHeight="1" spans="9:13">
      <c r="I21" s="47"/>
      <c r="J21" s="47"/>
      <c r="K21" s="72"/>
      <c r="L21" s="73" t="s">
        <v>68</v>
      </c>
      <c r="M21" s="2"/>
    </row>
    <row r="22" ht="19.5" customHeight="1" spans="9:13">
      <c r="I22" s="47"/>
      <c r="J22" s="47"/>
      <c r="K22" s="48"/>
      <c r="L22" s="49"/>
    </row>
    <row r="23" ht="19.5" customHeight="1" spans="9:13">
      <c r="I23" s="47"/>
      <c r="J23" s="47"/>
      <c r="K23" s="48"/>
      <c r="L23" s="49"/>
    </row>
    <row r="24" ht="19.5" customHeight="1" spans="9:13">
      <c r="I24" s="47"/>
      <c r="J24" s="47"/>
      <c r="K24" s="48"/>
      <c r="L24" s="49"/>
    </row>
    <row r="25" ht="19.5" customHeight="1" spans="9:13">
      <c r="I25" s="47"/>
      <c r="J25" s="47"/>
      <c r="K25" s="48"/>
      <c r="L25" s="49"/>
    </row>
    <row r="26" ht="19.5" customHeight="1" spans="9:13">
      <c r="I26" s="47"/>
      <c r="J26" s="47"/>
      <c r="K26" s="48"/>
      <c r="L26" s="49"/>
    </row>
    <row r="27" ht="19.5" customHeight="1" spans="9:13">
      <c r="I27" s="47"/>
      <c r="J27" s="47"/>
      <c r="K27" s="48"/>
      <c r="L27" s="49"/>
    </row>
    <row r="28" ht="19.5" customHeight="1" spans="9:13">
      <c r="I28" s="47"/>
      <c r="J28" s="47"/>
      <c r="K28" s="48"/>
      <c r="L28" s="49"/>
    </row>
    <row r="29" ht="19.5" customHeight="1" spans="9:13">
      <c r="I29" s="47"/>
      <c r="J29" s="47"/>
      <c r="K29" s="48"/>
      <c r="L29" s="49"/>
    </row>
    <row r="30" ht="19.5" customHeight="1" spans="9:13">
      <c r="I30" s="47"/>
      <c r="J30" s="47"/>
      <c r="K30" s="48"/>
      <c r="L30" s="49"/>
    </row>
    <row r="31" ht="19.5" customHeight="1" spans="9:13">
      <c r="I31" s="47"/>
      <c r="J31" s="47"/>
      <c r="K31" s="48"/>
      <c r="L31" s="49"/>
    </row>
    <row r="32" ht="19.5" customHeight="1" spans="9:13">
      <c r="I32" s="47"/>
      <c r="J32" s="47"/>
      <c r="K32" s="48"/>
      <c r="L32" s="49"/>
    </row>
    <row r="33" ht="15.75" customHeight="1" spans="9:12">
      <c r="I33" s="47"/>
      <c r="J33" s="47"/>
      <c r="K33" s="48"/>
      <c r="L33" s="49"/>
    </row>
    <row r="34" ht="15.75" customHeight="1" spans="9:12">
      <c r="I34" s="47"/>
      <c r="J34" s="47"/>
      <c r="K34" s="48"/>
      <c r="L34" s="49"/>
    </row>
    <row r="35" ht="15.75" customHeight="1" spans="9:12">
      <c r="I35" s="47"/>
      <c r="J35" s="47"/>
      <c r="K35" s="48"/>
      <c r="L35" s="49"/>
    </row>
    <row r="36" ht="15.75" customHeight="1" spans="9:12">
      <c r="I36" s="47"/>
      <c r="J36" s="47"/>
      <c r="K36" s="48"/>
      <c r="L36" s="49"/>
    </row>
    <row r="37" ht="15.75" customHeight="1" spans="9:12">
      <c r="I37" s="47"/>
      <c r="J37" s="47"/>
      <c r="K37" s="48"/>
      <c r="L37" s="49"/>
    </row>
    <row r="38" ht="15.75" customHeight="1" spans="9:12">
      <c r="I38" s="47"/>
      <c r="J38" s="47"/>
      <c r="K38" s="48"/>
      <c r="L38" s="49"/>
    </row>
    <row r="39" ht="15.75" customHeight="1" spans="9:12">
      <c r="I39" s="47"/>
      <c r="J39" s="47"/>
      <c r="K39" s="48"/>
      <c r="L39" s="49"/>
    </row>
    <row r="40" ht="15.75" customHeight="1" spans="9:12">
      <c r="I40" s="47"/>
      <c r="J40" s="47"/>
      <c r="K40" s="48"/>
      <c r="L40" s="49"/>
    </row>
    <row r="41" ht="15.75" customHeight="1" spans="9:12">
      <c r="I41" s="47"/>
      <c r="J41" s="47"/>
      <c r="K41" s="48"/>
      <c r="L41" s="49"/>
    </row>
    <row r="42" ht="15.75" customHeight="1" spans="9:12">
      <c r="I42" s="47"/>
      <c r="J42" s="47"/>
      <c r="K42" s="48"/>
      <c r="L42" s="49"/>
    </row>
    <row r="43" ht="15.75" customHeight="1" spans="9:12">
      <c r="I43" s="47"/>
      <c r="J43" s="47"/>
      <c r="K43" s="48"/>
      <c r="L43" s="49"/>
    </row>
    <row r="44" ht="15.75" customHeight="1" spans="9:12">
      <c r="I44" s="47"/>
      <c r="J44" s="47"/>
      <c r="K44" s="48"/>
      <c r="L44" s="49"/>
    </row>
    <row r="45" ht="15.75" customHeight="1" spans="9:12">
      <c r="I45" s="47"/>
      <c r="J45" s="47"/>
      <c r="K45" s="48"/>
      <c r="L45" s="49"/>
    </row>
    <row r="46" ht="15.75" customHeight="1" spans="9:12">
      <c r="I46" s="47"/>
      <c r="J46" s="47"/>
      <c r="K46" s="48"/>
      <c r="L46" s="49"/>
    </row>
    <row r="47" ht="15.75" customHeight="1" spans="9:12">
      <c r="I47" s="47"/>
      <c r="J47" s="47"/>
      <c r="K47" s="48"/>
      <c r="L47" s="49"/>
    </row>
    <row r="48" ht="15.75" customHeight="1" spans="9:12">
      <c r="I48" s="47"/>
      <c r="J48" s="47"/>
      <c r="K48" s="48"/>
      <c r="L48" s="49"/>
    </row>
    <row r="49" ht="15.75" customHeight="1" spans="9:12">
      <c r="I49" s="47"/>
      <c r="J49" s="47"/>
      <c r="K49" s="48"/>
      <c r="L49" s="49"/>
    </row>
    <row r="50" ht="15.75" customHeight="1" spans="9:12">
      <c r="I50" s="47"/>
      <c r="J50" s="47"/>
      <c r="K50" s="48"/>
      <c r="L50" s="49"/>
    </row>
    <row r="51" ht="15.75" customHeight="1" spans="9:12">
      <c r="I51" s="47"/>
      <c r="J51" s="47"/>
      <c r="K51" s="48"/>
      <c r="L51" s="49"/>
    </row>
    <row r="52" ht="15.75" customHeight="1" spans="9:12">
      <c r="I52" s="47"/>
      <c r="J52" s="47"/>
      <c r="K52" s="48"/>
      <c r="L52" s="49"/>
    </row>
    <row r="53" ht="15.75" customHeight="1" spans="9:12">
      <c r="I53" s="47"/>
      <c r="J53" s="47"/>
      <c r="K53" s="48"/>
      <c r="L53" s="49"/>
    </row>
    <row r="54" ht="15.75" customHeight="1" spans="9:12">
      <c r="I54" s="47"/>
      <c r="J54" s="47"/>
      <c r="K54" s="48"/>
      <c r="L54" s="49"/>
    </row>
    <row r="55" ht="15.75" customHeight="1" spans="9:12">
      <c r="I55" s="47"/>
      <c r="J55" s="47"/>
      <c r="K55" s="48"/>
      <c r="L55" s="49"/>
    </row>
    <row r="56" ht="15.75" customHeight="1" spans="9:12">
      <c r="I56" s="47"/>
      <c r="J56" s="47"/>
      <c r="K56" s="48"/>
      <c r="L56" s="49"/>
    </row>
    <row r="57" ht="15.75" customHeight="1" spans="9:12">
      <c r="I57" s="47"/>
      <c r="J57" s="47"/>
      <c r="K57" s="48"/>
      <c r="L57" s="49"/>
    </row>
    <row r="58" ht="15.75" customHeight="1" spans="9:12">
      <c r="I58" s="47"/>
      <c r="J58" s="47"/>
      <c r="K58" s="48"/>
      <c r="L58" s="49"/>
    </row>
    <row r="59" ht="15.75" customHeight="1" spans="9:12">
      <c r="I59" s="47"/>
      <c r="J59" s="47"/>
      <c r="K59" s="48"/>
      <c r="L59" s="49"/>
    </row>
    <row r="60" ht="15.75" customHeight="1" spans="9:12">
      <c r="I60" s="47"/>
      <c r="J60" s="47"/>
      <c r="K60" s="48"/>
      <c r="L60" s="49"/>
    </row>
    <row r="61" ht="15.75" customHeight="1" spans="9:12">
      <c r="I61" s="47"/>
      <c r="J61" s="47"/>
      <c r="K61" s="48"/>
      <c r="L61" s="49"/>
    </row>
    <row r="62" ht="15.75" customHeight="1" spans="9:12">
      <c r="I62" s="47"/>
      <c r="J62" s="47"/>
      <c r="K62" s="48"/>
      <c r="L62" s="49"/>
    </row>
    <row r="63" ht="15.75" customHeight="1" spans="9:12">
      <c r="I63" s="47"/>
      <c r="J63" s="47"/>
      <c r="K63" s="48"/>
      <c r="L63" s="49"/>
    </row>
    <row r="64" ht="15.75" customHeight="1" spans="9:12">
      <c r="I64" s="47"/>
      <c r="J64" s="47"/>
      <c r="K64" s="48"/>
      <c r="L64" s="49"/>
    </row>
    <row r="65" ht="15.75" customHeight="1" spans="9:12">
      <c r="I65" s="47"/>
      <c r="J65" s="47"/>
      <c r="K65" s="48"/>
      <c r="L65" s="49"/>
    </row>
    <row r="66" ht="15.75" customHeight="1" spans="9:12">
      <c r="I66" s="47"/>
      <c r="J66" s="47"/>
      <c r="K66" s="48"/>
      <c r="L66" s="49"/>
    </row>
    <row r="67" ht="15.75" customHeight="1" spans="9:12">
      <c r="I67" s="47"/>
      <c r="J67" s="47"/>
      <c r="K67" s="48"/>
      <c r="L67" s="49"/>
    </row>
    <row r="68" ht="15.75" customHeight="1" spans="9:12">
      <c r="I68" s="47"/>
      <c r="J68" s="47"/>
      <c r="K68" s="48"/>
      <c r="L68" s="49"/>
    </row>
    <row r="69" ht="15.75" customHeight="1" spans="9:12">
      <c r="I69" s="47"/>
      <c r="J69" s="47"/>
      <c r="K69" s="48"/>
      <c r="L69" s="49"/>
    </row>
    <row r="70" ht="15.75" customHeight="1" spans="9:12">
      <c r="I70" s="47"/>
      <c r="J70" s="47"/>
      <c r="K70" s="48"/>
      <c r="L70" s="49"/>
    </row>
    <row r="71" ht="15.75" customHeight="1" spans="9:12">
      <c r="I71" s="47"/>
      <c r="J71" s="47"/>
      <c r="K71" s="48"/>
      <c r="L71" s="49"/>
    </row>
    <row r="72" ht="15.75" customHeight="1" spans="9:12">
      <c r="I72" s="47"/>
      <c r="J72" s="47"/>
      <c r="K72" s="48"/>
      <c r="L72" s="49"/>
    </row>
    <row r="73" ht="15.75" customHeight="1" spans="9:12">
      <c r="I73" s="47"/>
      <c r="J73" s="47"/>
      <c r="K73" s="48"/>
      <c r="L73" s="49"/>
    </row>
    <row r="74" ht="15.75" customHeight="1" spans="9:12">
      <c r="I74" s="47"/>
      <c r="J74" s="47"/>
      <c r="K74" s="48"/>
      <c r="L74" s="49"/>
    </row>
    <row r="75" ht="15.75" customHeight="1" spans="9:12">
      <c r="I75" s="47"/>
      <c r="J75" s="47"/>
      <c r="K75" s="48"/>
      <c r="L75" s="49"/>
    </row>
    <row r="76" ht="15.75" customHeight="1" spans="9:12">
      <c r="I76" s="47"/>
      <c r="J76" s="47"/>
      <c r="K76" s="48"/>
      <c r="L76" s="49"/>
    </row>
    <row r="77" ht="15.75" customHeight="1" spans="9:12">
      <c r="I77" s="47"/>
      <c r="J77" s="47"/>
      <c r="K77" s="48"/>
      <c r="L77" s="49"/>
    </row>
    <row r="78" ht="15.75" customHeight="1" spans="9:12">
      <c r="I78" s="47"/>
      <c r="J78" s="47"/>
      <c r="K78" s="48"/>
      <c r="L78" s="49"/>
    </row>
    <row r="79" ht="15.75" customHeight="1" spans="9:12">
      <c r="I79" s="47"/>
      <c r="J79" s="47"/>
      <c r="K79" s="48"/>
      <c r="L79" s="49"/>
    </row>
    <row r="80" ht="15.75" customHeight="1" spans="9:12">
      <c r="I80" s="47"/>
      <c r="J80" s="47"/>
      <c r="K80" s="48"/>
      <c r="L80" s="49"/>
    </row>
    <row r="81" ht="15.75" customHeight="1" spans="9:12">
      <c r="I81" s="47"/>
      <c r="J81" s="47"/>
      <c r="K81" s="48"/>
      <c r="L81" s="49"/>
    </row>
    <row r="82" ht="15.75" customHeight="1" spans="9:12">
      <c r="I82" s="47"/>
      <c r="J82" s="47"/>
      <c r="K82" s="48"/>
      <c r="L82" s="49"/>
    </row>
    <row r="83" ht="15.75" customHeight="1" spans="9:12">
      <c r="I83" s="47"/>
      <c r="J83" s="47"/>
      <c r="K83" s="48"/>
      <c r="L83" s="49"/>
    </row>
    <row r="84" ht="15.75" customHeight="1" spans="9:12">
      <c r="I84" s="47"/>
      <c r="J84" s="47"/>
      <c r="K84" s="48"/>
      <c r="L84" s="49"/>
    </row>
    <row r="85" ht="15.75" customHeight="1" spans="9:12">
      <c r="I85" s="47"/>
      <c r="J85" s="47"/>
      <c r="K85" s="48"/>
      <c r="L85" s="49"/>
    </row>
    <row r="86" ht="15.75" customHeight="1" spans="9:12">
      <c r="I86" s="47"/>
      <c r="J86" s="47"/>
      <c r="K86" s="48"/>
      <c r="L86" s="49"/>
    </row>
    <row r="87" ht="15.75" customHeight="1" spans="9:12">
      <c r="I87" s="47"/>
      <c r="J87" s="47"/>
      <c r="K87" s="48"/>
      <c r="L87" s="49"/>
    </row>
    <row r="88" ht="15.75" customHeight="1" spans="9:12">
      <c r="I88" s="47"/>
      <c r="J88" s="47"/>
      <c r="K88" s="48"/>
      <c r="L88" s="49"/>
    </row>
    <row r="89" ht="15.75" customHeight="1" spans="9:12">
      <c r="I89" s="47"/>
      <c r="J89" s="47"/>
      <c r="K89" s="48"/>
      <c r="L89" s="49"/>
    </row>
    <row r="90" ht="15.75" customHeight="1" spans="9:12">
      <c r="I90" s="47"/>
      <c r="J90" s="47"/>
      <c r="K90" s="48"/>
      <c r="L90" s="49"/>
    </row>
    <row r="91" ht="15.75" customHeight="1" spans="9:12">
      <c r="I91" s="47"/>
      <c r="J91" s="47"/>
      <c r="K91" s="48"/>
      <c r="L91" s="49"/>
    </row>
    <row r="92" ht="15.75" customHeight="1" spans="9:12">
      <c r="I92" s="47"/>
      <c r="J92" s="47"/>
      <c r="K92" s="48"/>
      <c r="L92" s="49"/>
    </row>
    <row r="93" ht="15.75" customHeight="1" spans="9:12">
      <c r="I93" s="47"/>
      <c r="J93" s="47"/>
      <c r="K93" s="48"/>
      <c r="L93" s="49"/>
    </row>
    <row r="94" ht="15.75" customHeight="1" spans="9:12">
      <c r="I94" s="47"/>
      <c r="J94" s="47"/>
      <c r="K94" s="48"/>
      <c r="L94" s="49"/>
    </row>
    <row r="95" ht="15.75" customHeight="1" spans="9:12">
      <c r="I95" s="47"/>
      <c r="J95" s="47"/>
      <c r="K95" s="48"/>
      <c r="L95" s="49"/>
    </row>
    <row r="96" ht="15.75" customHeight="1" spans="9:12">
      <c r="I96" s="47"/>
      <c r="J96" s="47"/>
      <c r="K96" s="48"/>
      <c r="L96" s="49"/>
    </row>
    <row r="97" ht="15.75" customHeight="1" spans="9:12">
      <c r="I97" s="47"/>
      <c r="J97" s="47"/>
      <c r="K97" s="48"/>
      <c r="L97" s="49"/>
    </row>
    <row r="98" ht="15.75" customHeight="1" spans="9:12">
      <c r="I98" s="47"/>
      <c r="J98" s="47"/>
      <c r="K98" s="48"/>
      <c r="L98" s="49"/>
    </row>
    <row r="99" ht="15.75" customHeight="1" spans="9:12">
      <c r="I99" s="47"/>
      <c r="J99" s="47"/>
      <c r="K99" s="48"/>
      <c r="L99" s="49"/>
    </row>
    <row r="100" ht="15.75" customHeight="1" spans="9:12">
      <c r="I100" s="47"/>
      <c r="J100" s="47"/>
      <c r="K100" s="48"/>
      <c r="L100" s="49"/>
    </row>
    <row r="101" ht="15.75" customHeight="1" spans="9:12">
      <c r="I101" s="47"/>
      <c r="J101" s="47"/>
      <c r="K101" s="48"/>
      <c r="L101" s="49"/>
    </row>
    <row r="102" ht="15.75" customHeight="1" spans="9:12">
      <c r="I102" s="47"/>
      <c r="J102" s="47"/>
      <c r="K102" s="48"/>
      <c r="L102" s="49"/>
    </row>
    <row r="103" ht="15.75" customHeight="1" spans="9:12">
      <c r="I103" s="47"/>
      <c r="J103" s="47"/>
      <c r="K103" s="48"/>
      <c r="L103" s="49"/>
    </row>
    <row r="104" ht="15.75" customHeight="1" spans="9:12">
      <c r="I104" s="47"/>
      <c r="J104" s="47"/>
      <c r="K104" s="48"/>
      <c r="L104" s="49"/>
    </row>
    <row r="105" ht="15.75" customHeight="1" spans="9:12">
      <c r="I105" s="47"/>
      <c r="J105" s="47"/>
      <c r="K105" s="48"/>
      <c r="L105" s="49"/>
    </row>
    <row r="106" ht="15.75" customHeight="1" spans="9:12">
      <c r="I106" s="47"/>
      <c r="J106" s="47"/>
      <c r="K106" s="48"/>
      <c r="L106" s="49"/>
    </row>
    <row r="107" ht="15.75" customHeight="1" spans="9:12">
      <c r="I107" s="47"/>
      <c r="J107" s="47"/>
      <c r="K107" s="48"/>
      <c r="L107" s="49"/>
    </row>
    <row r="108" ht="15.75" customHeight="1" spans="9:12">
      <c r="I108" s="47"/>
      <c r="J108" s="47"/>
      <c r="K108" s="48"/>
      <c r="L108" s="49"/>
    </row>
    <row r="109" ht="15.75" customHeight="1" spans="9:12">
      <c r="I109" s="47"/>
      <c r="J109" s="47"/>
      <c r="K109" s="48"/>
      <c r="L109" s="49"/>
    </row>
    <row r="110" ht="15.75" customHeight="1" spans="9:12">
      <c r="I110" s="47"/>
      <c r="J110" s="47"/>
      <c r="K110" s="48"/>
      <c r="L110" s="49"/>
    </row>
    <row r="111" ht="15.75" customHeight="1" spans="9:12">
      <c r="I111" s="47"/>
      <c r="J111" s="47"/>
      <c r="K111" s="48"/>
      <c r="L111" s="49"/>
    </row>
    <row r="112" ht="15.75" customHeight="1" spans="9:12">
      <c r="I112" s="47"/>
      <c r="J112" s="47"/>
      <c r="K112" s="48"/>
      <c r="L112" s="49"/>
    </row>
    <row r="113" ht="15.75" customHeight="1" spans="9:12">
      <c r="I113" s="47"/>
      <c r="J113" s="47"/>
      <c r="K113" s="48"/>
      <c r="L113" s="49"/>
    </row>
    <row r="114" ht="15.75" customHeight="1" spans="9:12">
      <c r="I114" s="47"/>
      <c r="J114" s="47"/>
      <c r="K114" s="48"/>
      <c r="L114" s="49"/>
    </row>
    <row r="115" ht="15.75" customHeight="1" spans="9:12">
      <c r="I115" s="47"/>
      <c r="J115" s="47"/>
      <c r="K115" s="48"/>
      <c r="L115" s="49"/>
    </row>
    <row r="116" ht="15.75" customHeight="1" spans="9:12">
      <c r="I116" s="47"/>
      <c r="J116" s="47"/>
      <c r="K116" s="48"/>
      <c r="L116" s="49"/>
    </row>
    <row r="117" ht="15.75" customHeight="1" spans="9:12">
      <c r="I117" s="47"/>
      <c r="J117" s="47"/>
      <c r="K117" s="48"/>
      <c r="L117" s="49"/>
    </row>
    <row r="118" ht="15.75" customHeight="1" spans="9:12">
      <c r="I118" s="47"/>
      <c r="J118" s="47"/>
      <c r="K118" s="48"/>
      <c r="L118" s="49"/>
    </row>
    <row r="119" ht="15.75" customHeight="1" spans="9:12">
      <c r="I119" s="47"/>
      <c r="J119" s="47"/>
      <c r="K119" s="48"/>
      <c r="L119" s="49"/>
    </row>
    <row r="120" ht="15.75" customHeight="1" spans="9:12">
      <c r="I120" s="47"/>
      <c r="J120" s="47"/>
      <c r="K120" s="48"/>
      <c r="L120" s="49"/>
    </row>
    <row r="121" ht="15.75" customHeight="1" spans="9:12">
      <c r="I121" s="47"/>
      <c r="J121" s="47"/>
      <c r="K121" s="48"/>
      <c r="L121" s="49"/>
    </row>
    <row r="122" ht="15.75" customHeight="1" spans="9:12">
      <c r="I122" s="47"/>
      <c r="J122" s="47"/>
      <c r="K122" s="48"/>
      <c r="L122" s="49"/>
    </row>
    <row r="123" ht="15.75" customHeight="1" spans="9:12">
      <c r="I123" s="47"/>
      <c r="J123" s="47"/>
      <c r="K123" s="48"/>
      <c r="L123" s="49"/>
    </row>
    <row r="124" ht="15.75" customHeight="1" spans="9:12">
      <c r="I124" s="47"/>
      <c r="J124" s="47"/>
      <c r="K124" s="48"/>
      <c r="L124" s="49"/>
    </row>
    <row r="125" ht="15.75" customHeight="1" spans="9:12">
      <c r="I125" s="47"/>
      <c r="J125" s="47"/>
      <c r="K125" s="48"/>
      <c r="L125" s="49"/>
    </row>
    <row r="126" ht="15.75" customHeight="1" spans="9:12">
      <c r="I126" s="47"/>
      <c r="J126" s="47"/>
      <c r="K126" s="48"/>
      <c r="L126" s="49"/>
    </row>
    <row r="127" ht="15.75" customHeight="1" spans="9:12">
      <c r="I127" s="47"/>
      <c r="J127" s="47"/>
      <c r="K127" s="48"/>
      <c r="L127" s="49"/>
    </row>
    <row r="128" ht="15.75" customHeight="1" spans="9:12">
      <c r="I128" s="47"/>
      <c r="J128" s="47"/>
      <c r="K128" s="48"/>
      <c r="L128" s="49"/>
    </row>
    <row r="129" ht="15.75" customHeight="1" spans="9:12">
      <c r="I129" s="47"/>
      <c r="J129" s="47"/>
      <c r="K129" s="48"/>
      <c r="L129" s="49"/>
    </row>
    <row r="130" ht="15.75" customHeight="1" spans="9:12">
      <c r="I130" s="47"/>
      <c r="J130" s="47"/>
      <c r="K130" s="48"/>
      <c r="L130" s="49"/>
    </row>
    <row r="131" ht="15.75" customHeight="1" spans="9:12">
      <c r="I131" s="47"/>
      <c r="J131" s="47"/>
      <c r="K131" s="48"/>
      <c r="L131" s="49"/>
    </row>
    <row r="132" ht="15.75" customHeight="1" spans="9:12">
      <c r="I132" s="47"/>
      <c r="J132" s="47"/>
      <c r="K132" s="48"/>
      <c r="L132" s="49"/>
    </row>
    <row r="133" ht="15.75" customHeight="1" spans="9:12">
      <c r="I133" s="47"/>
      <c r="J133" s="47"/>
      <c r="K133" s="48"/>
      <c r="L133" s="49"/>
    </row>
    <row r="134" ht="15.75" customHeight="1" spans="9:12">
      <c r="I134" s="47"/>
      <c r="J134" s="47"/>
      <c r="K134" s="48"/>
      <c r="L134" s="49"/>
    </row>
    <row r="135" ht="15.75" customHeight="1" spans="9:12">
      <c r="I135" s="47"/>
      <c r="J135" s="47"/>
      <c r="K135" s="48"/>
      <c r="L135" s="49"/>
    </row>
    <row r="136" ht="15.75" customHeight="1" spans="9:12">
      <c r="I136" s="47"/>
      <c r="J136" s="47"/>
      <c r="K136" s="48"/>
      <c r="L136" s="49"/>
    </row>
    <row r="137" ht="15.75" customHeight="1" spans="9:12">
      <c r="I137" s="47"/>
      <c r="J137" s="47"/>
      <c r="K137" s="48"/>
      <c r="L137" s="49"/>
    </row>
    <row r="138" ht="15.75" customHeight="1" spans="9:12">
      <c r="I138" s="47"/>
      <c r="J138" s="47"/>
      <c r="K138" s="48"/>
      <c r="L138" s="49"/>
    </row>
    <row r="139" ht="15.75" customHeight="1" spans="9:12">
      <c r="I139" s="47"/>
      <c r="J139" s="47"/>
      <c r="K139" s="48"/>
      <c r="L139" s="49"/>
    </row>
    <row r="140" ht="15.75" customHeight="1" spans="9:12">
      <c r="I140" s="47"/>
      <c r="J140" s="47"/>
      <c r="K140" s="48"/>
      <c r="L140" s="49"/>
    </row>
    <row r="141" ht="15.75" customHeight="1" spans="9:12">
      <c r="I141" s="47"/>
      <c r="J141" s="47"/>
      <c r="K141" s="48"/>
      <c r="L141" s="49"/>
    </row>
    <row r="142" ht="15.75" customHeight="1" spans="9:12">
      <c r="I142" s="47"/>
      <c r="J142" s="47"/>
      <c r="K142" s="48"/>
      <c r="L142" s="49"/>
    </row>
    <row r="143" ht="15.75" customHeight="1" spans="9:12">
      <c r="I143" s="47"/>
      <c r="J143" s="47"/>
      <c r="K143" s="48"/>
      <c r="L143" s="49"/>
    </row>
    <row r="144" ht="15.75" customHeight="1" spans="9:12">
      <c r="I144" s="47"/>
      <c r="J144" s="47"/>
      <c r="K144" s="48"/>
      <c r="L144" s="49"/>
    </row>
    <row r="145" ht="15.75" customHeight="1" spans="9:12">
      <c r="I145" s="47"/>
      <c r="J145" s="47"/>
      <c r="K145" s="48"/>
      <c r="L145" s="49"/>
    </row>
    <row r="146" ht="15.75" customHeight="1" spans="9:12">
      <c r="I146" s="47"/>
      <c r="J146" s="47"/>
      <c r="K146" s="48"/>
      <c r="L146" s="49"/>
    </row>
    <row r="147" ht="15.75" customHeight="1" spans="9:12">
      <c r="I147" s="47"/>
      <c r="J147" s="47"/>
      <c r="K147" s="48"/>
      <c r="L147" s="49"/>
    </row>
    <row r="148" ht="15.75" customHeight="1" spans="9:12">
      <c r="I148" s="47"/>
      <c r="J148" s="47"/>
      <c r="K148" s="48"/>
      <c r="L148" s="49"/>
    </row>
    <row r="149" ht="15.75" customHeight="1" spans="9:12">
      <c r="I149" s="47"/>
      <c r="J149" s="47"/>
      <c r="K149" s="48"/>
      <c r="L149" s="49"/>
    </row>
    <row r="150" ht="15.75" customHeight="1" spans="9:12">
      <c r="I150" s="47"/>
      <c r="J150" s="47"/>
      <c r="K150" s="48"/>
      <c r="L150" s="49"/>
    </row>
    <row r="151" ht="15.75" customHeight="1" spans="9:12">
      <c r="I151" s="47"/>
      <c r="J151" s="47"/>
      <c r="K151" s="48"/>
      <c r="L151" s="49"/>
    </row>
    <row r="152" ht="15.75" customHeight="1" spans="9:12">
      <c r="I152" s="47"/>
      <c r="J152" s="47"/>
      <c r="K152" s="48"/>
      <c r="L152" s="49"/>
    </row>
    <row r="153" ht="15.75" customHeight="1" spans="9:12">
      <c r="I153" s="47"/>
      <c r="J153" s="47"/>
      <c r="K153" s="48"/>
      <c r="L153" s="49"/>
    </row>
    <row r="154" ht="15.75" customHeight="1" spans="9:12">
      <c r="I154" s="47"/>
      <c r="J154" s="47"/>
      <c r="K154" s="48"/>
      <c r="L154" s="49"/>
    </row>
    <row r="155" ht="15.75" customHeight="1" spans="9:12">
      <c r="I155" s="47"/>
      <c r="J155" s="47"/>
      <c r="K155" s="48"/>
      <c r="L155" s="49"/>
    </row>
    <row r="156" ht="15.75" customHeight="1" spans="9:12">
      <c r="I156" s="47"/>
      <c r="J156" s="47"/>
      <c r="K156" s="48"/>
      <c r="L156" s="49"/>
    </row>
    <row r="157" ht="15.75" customHeight="1" spans="9:12">
      <c r="I157" s="47"/>
      <c r="J157" s="47"/>
      <c r="K157" s="48"/>
      <c r="L157" s="49"/>
    </row>
    <row r="158" ht="15.75" customHeight="1" spans="9:12">
      <c r="I158" s="47"/>
      <c r="J158" s="47"/>
      <c r="K158" s="48"/>
      <c r="L158" s="49"/>
    </row>
    <row r="159" ht="15.75" customHeight="1" spans="9:12">
      <c r="I159" s="47"/>
      <c r="J159" s="47"/>
      <c r="K159" s="48"/>
      <c r="L159" s="49"/>
    </row>
    <row r="160" ht="15.75" customHeight="1" spans="9:12">
      <c r="I160" s="47"/>
      <c r="J160" s="47"/>
      <c r="K160" s="48"/>
      <c r="L160" s="49"/>
    </row>
    <row r="161" ht="15.75" customHeight="1" spans="9:12">
      <c r="I161" s="47"/>
      <c r="J161" s="47"/>
      <c r="K161" s="48"/>
      <c r="L161" s="49"/>
    </row>
    <row r="162" ht="15.75" customHeight="1" spans="9:12">
      <c r="I162" s="47"/>
      <c r="J162" s="47"/>
      <c r="K162" s="48"/>
      <c r="L162" s="49"/>
    </row>
    <row r="163" ht="15.75" customHeight="1" spans="9:12">
      <c r="I163" s="47"/>
      <c r="J163" s="47"/>
      <c r="K163" s="48"/>
      <c r="L163" s="49"/>
    </row>
    <row r="164" ht="15.75" customHeight="1" spans="9:12">
      <c r="I164" s="47"/>
      <c r="J164" s="47"/>
      <c r="K164" s="48"/>
      <c r="L164" s="49"/>
    </row>
    <row r="165" ht="15.75" customHeight="1" spans="9:12">
      <c r="I165" s="47"/>
      <c r="J165" s="47"/>
      <c r="K165" s="48"/>
      <c r="L165" s="49"/>
    </row>
    <row r="166" ht="15.75" customHeight="1" spans="9:12">
      <c r="I166" s="47"/>
      <c r="J166" s="47"/>
      <c r="K166" s="48"/>
      <c r="L166" s="49"/>
    </row>
    <row r="167" ht="15.75" customHeight="1" spans="9:12">
      <c r="I167" s="47"/>
      <c r="J167" s="47"/>
      <c r="K167" s="48"/>
      <c r="L167" s="49"/>
    </row>
    <row r="168" ht="15.75" customHeight="1" spans="9:12">
      <c r="I168" s="47"/>
      <c r="J168" s="47"/>
      <c r="K168" s="48"/>
      <c r="L168" s="49"/>
    </row>
    <row r="169" ht="15.75" customHeight="1" spans="9:12">
      <c r="I169" s="47"/>
      <c r="J169" s="47"/>
      <c r="K169" s="48"/>
      <c r="L169" s="49"/>
    </row>
    <row r="170" ht="15.75" customHeight="1" spans="9:12">
      <c r="I170" s="47"/>
      <c r="J170" s="47"/>
      <c r="K170" s="48"/>
      <c r="L170" s="49"/>
    </row>
    <row r="171" ht="15.75" customHeight="1" spans="9:12">
      <c r="I171" s="47"/>
      <c r="J171" s="47"/>
      <c r="K171" s="48"/>
      <c r="L171" s="49"/>
    </row>
    <row r="172" ht="15.75" customHeight="1" spans="9:12">
      <c r="I172" s="47"/>
      <c r="J172" s="47"/>
      <c r="K172" s="48"/>
      <c r="L172" s="49"/>
    </row>
    <row r="173" ht="15.75" customHeight="1" spans="9:12">
      <c r="I173" s="47"/>
      <c r="J173" s="47"/>
      <c r="K173" s="48"/>
      <c r="L173" s="49"/>
    </row>
    <row r="174" ht="15.75" customHeight="1" spans="9:12">
      <c r="I174" s="47"/>
      <c r="J174" s="47"/>
      <c r="K174" s="48"/>
      <c r="L174" s="49"/>
    </row>
    <row r="175" ht="15.75" customHeight="1" spans="9:12">
      <c r="I175" s="47"/>
      <c r="J175" s="47"/>
      <c r="K175" s="48"/>
      <c r="L175" s="49"/>
    </row>
    <row r="176" ht="15.75" customHeight="1" spans="9:12">
      <c r="I176" s="47"/>
      <c r="J176" s="47"/>
      <c r="K176" s="48"/>
      <c r="L176" s="49"/>
    </row>
    <row r="177" ht="15.75" customHeight="1" spans="9:12">
      <c r="I177" s="47"/>
      <c r="J177" s="47"/>
      <c r="K177" s="48"/>
      <c r="L177" s="49"/>
    </row>
    <row r="178" ht="15.75" customHeight="1" spans="9:12">
      <c r="I178" s="47"/>
      <c r="J178" s="47"/>
      <c r="K178" s="48"/>
      <c r="L178" s="49"/>
    </row>
    <row r="179" ht="15.75" customHeight="1" spans="9:12">
      <c r="I179" s="47"/>
      <c r="J179" s="47"/>
      <c r="K179" s="48"/>
      <c r="L179" s="49"/>
    </row>
    <row r="180" ht="15.75" customHeight="1" spans="9:12">
      <c r="I180" s="47"/>
      <c r="J180" s="47"/>
      <c r="K180" s="48"/>
      <c r="L180" s="49"/>
    </row>
    <row r="181" ht="15.75" customHeight="1" spans="9:12">
      <c r="I181" s="47"/>
      <c r="J181" s="47"/>
      <c r="K181" s="48"/>
      <c r="L181" s="49"/>
    </row>
    <row r="182" ht="15.75" customHeight="1" spans="9:12">
      <c r="I182" s="47"/>
      <c r="J182" s="47"/>
      <c r="K182" s="48"/>
      <c r="L182" s="49"/>
    </row>
    <row r="183" ht="15.75" customHeight="1" spans="9:12">
      <c r="I183" s="47"/>
      <c r="J183" s="47"/>
      <c r="K183" s="48"/>
      <c r="L183" s="49"/>
    </row>
    <row r="184" ht="15.75" customHeight="1" spans="9:12">
      <c r="I184" s="47"/>
      <c r="J184" s="47"/>
      <c r="K184" s="48"/>
      <c r="L184" s="49"/>
    </row>
    <row r="185" ht="15.75" customHeight="1" spans="9:12">
      <c r="I185" s="47"/>
      <c r="J185" s="47"/>
      <c r="K185" s="48"/>
      <c r="L185" s="49"/>
    </row>
    <row r="186" ht="15.75" customHeight="1" spans="9:12">
      <c r="I186" s="47"/>
      <c r="J186" s="47"/>
      <c r="K186" s="48"/>
      <c r="L186" s="49"/>
    </row>
    <row r="187" ht="15.75" customHeight="1" spans="9:12">
      <c r="I187" s="47"/>
      <c r="J187" s="47"/>
      <c r="K187" s="48"/>
      <c r="L187" s="49"/>
    </row>
    <row r="188" ht="15.75" customHeight="1" spans="9:12">
      <c r="I188" s="47"/>
      <c r="J188" s="47"/>
      <c r="K188" s="48"/>
      <c r="L188" s="49"/>
    </row>
    <row r="189" ht="15.75" customHeight="1" spans="9:12">
      <c r="I189" s="47"/>
      <c r="J189" s="47"/>
      <c r="K189" s="48"/>
      <c r="L189" s="49"/>
    </row>
    <row r="190" ht="15.75" customHeight="1" spans="9:12">
      <c r="I190" s="47"/>
      <c r="J190" s="47"/>
      <c r="K190" s="48"/>
      <c r="L190" s="49"/>
    </row>
    <row r="191" ht="15.75" customHeight="1" spans="9:12">
      <c r="I191" s="47"/>
      <c r="J191" s="47"/>
      <c r="K191" s="48"/>
      <c r="L191" s="49"/>
    </row>
    <row r="192" ht="15.75" customHeight="1" spans="9:12">
      <c r="I192" s="47"/>
      <c r="J192" s="47"/>
      <c r="K192" s="48"/>
      <c r="L192" s="49"/>
    </row>
    <row r="193" ht="15.75" customHeight="1" spans="9:12">
      <c r="I193" s="47"/>
      <c r="J193" s="47"/>
      <c r="K193" s="48"/>
      <c r="L193" s="49"/>
    </row>
    <row r="194" ht="15.75" customHeight="1" spans="9:12">
      <c r="I194" s="47"/>
      <c r="J194" s="47"/>
      <c r="K194" s="48"/>
      <c r="L194" s="49"/>
    </row>
    <row r="195" ht="15.75" customHeight="1" spans="9:12">
      <c r="I195" s="47"/>
      <c r="J195" s="47"/>
      <c r="K195" s="48"/>
      <c r="L195" s="49"/>
    </row>
    <row r="196" ht="15.75" customHeight="1" spans="9:12">
      <c r="I196" s="47"/>
      <c r="J196" s="47"/>
      <c r="K196" s="48"/>
      <c r="L196" s="49"/>
    </row>
    <row r="197" ht="15.75" customHeight="1" spans="9:12">
      <c r="I197" s="47"/>
      <c r="J197" s="47"/>
      <c r="K197" s="48"/>
      <c r="L197" s="49"/>
    </row>
    <row r="198" ht="15.75" customHeight="1" spans="9:12">
      <c r="I198" s="47"/>
      <c r="J198" s="47"/>
      <c r="K198" s="48"/>
      <c r="L198" s="49"/>
    </row>
    <row r="199" ht="15.75" customHeight="1" spans="9:12">
      <c r="I199" s="47"/>
      <c r="J199" s="47"/>
      <c r="K199" s="48"/>
      <c r="L199" s="49"/>
    </row>
    <row r="200" ht="15.75" customHeight="1" spans="9:12">
      <c r="I200" s="47"/>
      <c r="J200" s="47"/>
      <c r="K200" s="48"/>
      <c r="L200" s="49"/>
    </row>
    <row r="201" ht="15.75" customHeight="1" spans="9:12">
      <c r="I201" s="47"/>
      <c r="J201" s="47"/>
      <c r="K201" s="48"/>
      <c r="L201" s="49"/>
    </row>
    <row r="202" ht="15.75" customHeight="1" spans="9:12">
      <c r="I202" s="47"/>
      <c r="J202" s="47"/>
      <c r="K202" s="48"/>
      <c r="L202" s="49"/>
    </row>
    <row r="203" ht="15.75" customHeight="1" spans="9:12">
      <c r="I203" s="47"/>
      <c r="J203" s="47"/>
      <c r="K203" s="48"/>
      <c r="L203" s="49"/>
    </row>
    <row r="204" ht="15.75" customHeight="1" spans="9:12">
      <c r="I204" s="47"/>
      <c r="J204" s="47"/>
      <c r="K204" s="48"/>
      <c r="L204" s="49"/>
    </row>
    <row r="205" ht="15.75" customHeight="1" spans="9:12">
      <c r="I205" s="47"/>
      <c r="J205" s="47"/>
      <c r="K205" s="48"/>
      <c r="L205" s="49"/>
    </row>
    <row r="206" ht="15.75" customHeight="1" spans="9:12">
      <c r="I206" s="47"/>
      <c r="J206" s="47"/>
      <c r="K206" s="48"/>
      <c r="L206" s="49"/>
    </row>
    <row r="207" ht="15.75" customHeight="1" spans="9:12">
      <c r="I207" s="47"/>
      <c r="J207" s="47"/>
      <c r="K207" s="48"/>
      <c r="L207" s="49"/>
    </row>
    <row r="208" ht="15.75" customHeight="1" spans="9:12">
      <c r="I208" s="47"/>
      <c r="J208" s="47"/>
      <c r="K208" s="48"/>
      <c r="L208" s="49"/>
    </row>
    <row r="209" ht="15.75" customHeight="1" spans="9:12">
      <c r="I209" s="47"/>
      <c r="J209" s="47"/>
      <c r="K209" s="48"/>
      <c r="L209" s="49"/>
    </row>
    <row r="210" ht="15.75" customHeight="1" spans="9:12">
      <c r="I210" s="47"/>
      <c r="J210" s="47"/>
      <c r="K210" s="48"/>
      <c r="L210" s="49"/>
    </row>
    <row r="211" ht="15.75" customHeight="1" spans="9:12">
      <c r="I211" s="47"/>
      <c r="J211" s="47"/>
      <c r="K211" s="48"/>
      <c r="L211" s="49"/>
    </row>
    <row r="212" ht="15.75" customHeight="1" spans="9:12">
      <c r="I212" s="47"/>
      <c r="J212" s="47"/>
      <c r="K212" s="48"/>
      <c r="L212" s="49"/>
    </row>
    <row r="213" ht="15.75" customHeight="1" spans="9:12">
      <c r="I213" s="47"/>
      <c r="J213" s="47"/>
      <c r="K213" s="48"/>
      <c r="L213" s="49"/>
    </row>
    <row r="214" ht="15.75" customHeight="1" spans="9:12">
      <c r="I214" s="47"/>
      <c r="J214" s="47"/>
      <c r="K214" s="48"/>
      <c r="L214" s="49"/>
    </row>
    <row r="215" ht="15.75" customHeight="1" spans="9:12">
      <c r="I215" s="47"/>
      <c r="J215" s="47"/>
      <c r="K215" s="48"/>
      <c r="L215" s="49"/>
    </row>
    <row r="216" ht="15.75" customHeight="1" spans="9:12">
      <c r="I216" s="47"/>
      <c r="J216" s="47"/>
      <c r="K216" s="48"/>
      <c r="L216" s="49"/>
    </row>
    <row r="217" ht="15.75" customHeight="1" spans="9:12">
      <c r="I217" s="47"/>
      <c r="J217" s="47"/>
      <c r="K217" s="48"/>
      <c r="L217" s="49"/>
    </row>
    <row r="218" ht="15.75" customHeight="1" spans="9:12">
      <c r="I218" s="47"/>
      <c r="J218" s="47"/>
      <c r="K218" s="48"/>
      <c r="L218" s="49"/>
    </row>
    <row r="219" ht="15.75" customHeight="1" spans="9:12">
      <c r="I219" s="47"/>
      <c r="J219" s="47"/>
      <c r="K219" s="48"/>
      <c r="L219" s="49"/>
    </row>
    <row r="220" ht="15.75" customHeight="1" spans="9:12">
      <c r="I220" s="47"/>
      <c r="J220" s="47"/>
      <c r="K220" s="48"/>
      <c r="L220" s="49"/>
    </row>
    <row r="221" ht="15.75" customHeight="1" spans="9:12">
      <c r="I221" s="47"/>
      <c r="J221" s="47"/>
      <c r="K221" s="48"/>
      <c r="L221" s="49"/>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O3"/>
  </mergeCells>
  <dataValidations count="2">
    <dataValidation type="list" allowBlank="1" showErrorMessage="1" sqref="K6:K11">
      <formula1>$K$18:$K$20</formula1>
    </dataValidation>
    <dataValidation type="list" allowBlank="1" showErrorMessage="1" sqref="L6:L11">
      <formula1>$L$18:$L$21</formula1>
    </dataValidation>
  </dataValidations>
  <hyperlinks>
    <hyperlink ref="G8" r:id="rId1" display="1. Se debera preguntar si el peaton cruzo la avenida por completo&#10;2. Si en tal caso no se alcanzo se debera enviar una alerta al usuario para que tenga precaución y se mostrara elciclo del semaforo hasta que sea rojo nuevamente y el usuario pueda pasar  &#10;3. Cuando el usuario si lograra cruzar exitosamente entonces el programa se concluira para el peaton "/>
  </hyperlinks>
  <printOptions horizontalCentered="1"/>
  <pageMargins left="0.31496062992126" right="0.31496062992126" top="0.748031496062992" bottom="0.551181102362205" header="0" footer="0"/>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2:P1000"/>
  <sheetViews>
    <sheetView showGridLines="0" workbookViewId="0">
      <selection activeCell="C10" sqref="C10"/>
    </sheetView>
  </sheetViews>
  <sheetFormatPr defaultColWidth="12.6333333333333" defaultRowHeight="15" customHeight="1"/>
  <cols>
    <col min="1" max="1" width="9.38333333333333" customWidth="1"/>
    <col min="2" max="2" width="2.63333333333333" customWidth="1"/>
    <col min="3" max="15" width="10.6333333333333" customWidth="1"/>
    <col min="16" max="16" width="2.63333333333333" customWidth="1"/>
  </cols>
  <sheetData>
    <row r="2" hidden="1" customHeight="1"/>
    <row r="3" hidden="1" customHeight="1"/>
    <row r="4" hidden="1" spans="2:16">
      <c r="C4" s="1"/>
      <c r="D4" s="1"/>
      <c r="E4" s="1"/>
      <c r="F4" s="2"/>
    </row>
    <row r="5" hidden="1" spans="2:16">
      <c r="C5" s="1"/>
      <c r="D5" s="1"/>
      <c r="E5" s="1"/>
      <c r="F5" s="2"/>
    </row>
    <row r="6" ht="39.75" customHeight="1" spans="2:16">
      <c r="B6" s="3" t="s">
        <v>69</v>
      </c>
      <c r="C6" s="4"/>
      <c r="D6" s="4"/>
      <c r="E6" s="4"/>
      <c r="F6" s="4"/>
      <c r="G6" s="4"/>
      <c r="H6" s="4"/>
      <c r="I6" s="4"/>
      <c r="J6" s="4"/>
      <c r="K6" s="4"/>
      <c r="L6" s="4"/>
      <c r="M6" s="4"/>
      <c r="N6" s="4"/>
      <c r="O6" s="4"/>
      <c r="P6" s="5"/>
    </row>
    <row r="7" ht="9.75" customHeight="1" spans="2:16">
      <c r="C7" s="6"/>
      <c r="D7" s="6"/>
      <c r="E7" s="6"/>
      <c r="F7" s="6"/>
      <c r="G7" s="6"/>
      <c r="H7" s="6"/>
      <c r="I7" s="6"/>
      <c r="J7" s="6"/>
      <c r="K7" s="6"/>
      <c r="L7" s="6"/>
      <c r="M7" s="6"/>
      <c r="N7" s="6"/>
      <c r="O7" s="6"/>
    </row>
    <row r="8" ht="9.75" customHeight="1" spans="2:16">
      <c r="B8" s="7"/>
      <c r="C8" s="8"/>
      <c r="D8" s="8"/>
      <c r="E8" s="8"/>
      <c r="F8" s="9"/>
      <c r="G8" s="10"/>
      <c r="H8" s="10"/>
      <c r="I8" s="10"/>
      <c r="J8" s="10"/>
      <c r="K8" s="10"/>
      <c r="L8" s="10"/>
      <c r="M8" s="10"/>
      <c r="N8" s="10"/>
      <c r="O8" s="10"/>
      <c r="P8" s="11"/>
    </row>
    <row r="9" ht="30" customHeight="1" spans="2:16">
      <c r="B9" s="12"/>
      <c r="C9" s="13" t="s">
        <v>1</v>
      </c>
      <c r="D9" s="14"/>
      <c r="E9" s="15" t="s">
        <v>70</v>
      </c>
      <c r="F9" s="5"/>
      <c r="G9" s="14"/>
      <c r="H9" s="15" t="s">
        <v>11</v>
      </c>
      <c r="I9" s="5"/>
      <c r="J9" s="16"/>
      <c r="K9" s="16"/>
      <c r="L9" s="16"/>
      <c r="M9" s="16"/>
      <c r="N9" s="16"/>
      <c r="O9" s="16"/>
      <c r="P9" s="17"/>
    </row>
    <row r="10" ht="30" customHeight="1" spans="2:16">
      <c r="B10" s="12"/>
      <c r="C10" s="18" t="s">
        <v>27</v>
      </c>
      <c r="D10" s="19"/>
      <c r="E10" s="20" t="str">
        <f>VLOOKUP(C10,'Formato descripción HU'!B6:O14,5,0)</f>
        <v>Para los estudiantes de la Espe</v>
      </c>
      <c r="F10" s="5"/>
      <c r="G10" s="21"/>
      <c r="H10" s="20" t="str">
        <f>VLOOKUP(C10,'Formato descripción HU'!B6:O14,11,0)</f>
        <v>Terminado</v>
      </c>
      <c r="I10" s="5"/>
      <c r="J10" s="21"/>
      <c r="K10" s="16"/>
      <c r="L10" s="16"/>
      <c r="M10" s="16"/>
      <c r="N10" s="16"/>
      <c r="O10" s="16"/>
      <c r="P10" s="17"/>
    </row>
    <row r="11" ht="9.75" customHeight="1" spans="2:16">
      <c r="B11" s="12"/>
      <c r="C11" s="22"/>
      <c r="D11" s="19"/>
      <c r="E11" s="23"/>
      <c r="F11" s="23"/>
      <c r="G11" s="21"/>
      <c r="H11" s="23"/>
      <c r="I11" s="23"/>
      <c r="J11" s="21"/>
      <c r="K11" s="23"/>
      <c r="L11" s="23"/>
      <c r="M11" s="16"/>
      <c r="N11" s="23"/>
      <c r="O11" s="23"/>
      <c r="P11" s="17"/>
    </row>
    <row r="12" ht="30" customHeight="1" spans="2:16">
      <c r="B12" s="12"/>
      <c r="C12" s="13" t="s">
        <v>71</v>
      </c>
      <c r="D12" s="19"/>
      <c r="E12" s="15" t="s">
        <v>10</v>
      </c>
      <c r="F12" s="5"/>
      <c r="G12" s="21"/>
      <c r="H12" s="15" t="s">
        <v>72</v>
      </c>
      <c r="I12" s="5"/>
      <c r="J12" s="21"/>
      <c r="K12" s="23"/>
      <c r="L12" s="23"/>
      <c r="M12" s="16"/>
      <c r="N12" s="23"/>
      <c r="O12" s="23"/>
      <c r="P12" s="17"/>
    </row>
    <row r="13" ht="30" customHeight="1" spans="2:16">
      <c r="B13" s="12"/>
      <c r="C13" s="18">
        <f>VLOOKUP('Historia de Usuario'!C10,'Formato descripción HU'!B6:O14,8,0)</f>
        <v>6</v>
      </c>
      <c r="D13" s="19"/>
      <c r="E13" s="20" t="str">
        <f>VLOOKUP(C10,'Formato descripción HU'!B6:O14,10,0)</f>
        <v>Alta</v>
      </c>
      <c r="F13" s="5"/>
      <c r="G13" s="21"/>
      <c r="H13" s="20" t="str">
        <f>VLOOKUP(C10,'Formato descripción HU'!B6:O14,7,0)</f>
        <v>Padilla Christian</v>
      </c>
      <c r="I13" s="5"/>
      <c r="J13" s="21"/>
      <c r="K13" s="23"/>
      <c r="L13" s="23"/>
      <c r="M13" s="16"/>
      <c r="N13" s="23"/>
      <c r="O13" s="23"/>
      <c r="P13" s="17"/>
    </row>
    <row r="14" ht="9.75" customHeight="1" spans="2:16">
      <c r="B14" s="12"/>
      <c r="C14" s="16"/>
      <c r="D14" s="19"/>
      <c r="E14" s="16"/>
      <c r="F14" s="16"/>
      <c r="G14" s="21"/>
      <c r="H14" s="21"/>
      <c r="I14" s="16"/>
      <c r="J14" s="16"/>
      <c r="K14" s="16"/>
      <c r="L14" s="16"/>
      <c r="M14" s="16"/>
      <c r="N14" s="16"/>
      <c r="O14" s="16"/>
      <c r="P14" s="17"/>
    </row>
    <row r="15" ht="19.5" customHeight="1" spans="2:16">
      <c r="B15" s="12"/>
      <c r="C15" s="24" t="s">
        <v>73</v>
      </c>
      <c r="D15" s="25" t="str">
        <f>VLOOKUP(C10,'Formato descripción HU'!B6:O14,3,0)</f>
        <v>El programa debera preguntar si el usuario es una persona en situación de vulnerabilidad, incluyendo adultos mayores, niños, mujeres embarazadas y personas con movilidad reducida</v>
      </c>
      <c r="E15" s="26"/>
      <c r="F15" s="16"/>
      <c r="G15" s="24" t="s">
        <v>74</v>
      </c>
      <c r="H15" s="25" t="str">
        <f>VLOOKUP(C10,'Formato descripción HU'!B6:O14,4,0)</f>
        <v>Para saber dar preferencia y un tiempo apto para que pueda cruzar </v>
      </c>
      <c r="I15" s="27"/>
      <c r="J15" s="26"/>
      <c r="K15" s="16"/>
      <c r="L15" s="24" t="s">
        <v>75</v>
      </c>
      <c r="M15" s="28" t="str">
        <f>VLOOKUP(C10,'Formato descripción HU'!B6:O14,6,0)</f>
        <v>1. Se preguntara la situacion del peaton
2. Si en tal caso el usuario es de uso preferencial entonces el progama se ejecutara dando una alerta de cambio con el semaforo amarillo antes de ser rojo para asi dar paso al peaton
3. Cuando el usuario no sea preferente los ciclo del semaforo sera el normal </v>
      </c>
      <c r="N15" s="27"/>
      <c r="O15" s="26"/>
      <c r="P15" s="17"/>
    </row>
    <row r="16" ht="19.5" customHeight="1" spans="2:16">
      <c r="B16" s="12"/>
      <c r="C16" s="29"/>
      <c r="D16" s="30"/>
      <c r="E16" s="31"/>
      <c r="F16" s="16"/>
      <c r="G16" s="29"/>
      <c r="H16" s="30"/>
      <c r="J16" s="31"/>
      <c r="K16" s="16"/>
      <c r="L16" s="29"/>
      <c r="M16" s="30"/>
      <c r="O16" s="31"/>
      <c r="P16" s="17"/>
    </row>
    <row r="17" ht="19.5" customHeight="1" spans="2:16">
      <c r="B17" s="12"/>
      <c r="C17" s="32"/>
      <c r="D17" s="33"/>
      <c r="E17" s="34"/>
      <c r="F17" s="16"/>
      <c r="G17" s="32"/>
      <c r="H17" s="33"/>
      <c r="I17" s="35"/>
      <c r="J17" s="34"/>
      <c r="K17" s="16"/>
      <c r="L17" s="32"/>
      <c r="M17" s="33"/>
      <c r="N17" s="35"/>
      <c r="O17" s="34"/>
      <c r="P17" s="17"/>
    </row>
    <row r="18" ht="9.75" customHeight="1" spans="2:16">
      <c r="B18" s="12"/>
      <c r="C18" s="16"/>
      <c r="D18" s="16"/>
      <c r="E18" s="16"/>
      <c r="F18" s="16"/>
      <c r="G18" s="21"/>
      <c r="H18" s="21"/>
      <c r="I18" s="21"/>
      <c r="J18" s="16"/>
      <c r="K18" s="16"/>
      <c r="L18" s="16"/>
      <c r="M18" s="16"/>
      <c r="N18" s="16"/>
      <c r="O18" s="16"/>
      <c r="P18" s="17"/>
    </row>
    <row r="19" ht="19.5" customHeight="1" spans="2:16">
      <c r="B19" s="12"/>
      <c r="C19" s="36" t="s">
        <v>76</v>
      </c>
      <c r="D19" s="26"/>
      <c r="E19" s="37" t="str">
        <f>VLOOKUP(C10,'Formato descripción HU'!B6:O14,14,0)</f>
        <v>Control FSM del Semáforo</v>
      </c>
      <c r="F19" s="38"/>
      <c r="G19" s="38"/>
      <c r="H19" s="38"/>
      <c r="I19" s="38"/>
      <c r="J19" s="38"/>
      <c r="K19" s="38"/>
      <c r="L19" s="38"/>
      <c r="M19" s="38"/>
      <c r="N19" s="38"/>
      <c r="O19" s="39"/>
      <c r="P19" s="17"/>
    </row>
    <row r="20" ht="19.5" customHeight="1" spans="2:16">
      <c r="B20" s="12"/>
      <c r="C20" s="33"/>
      <c r="D20" s="34"/>
      <c r="E20" s="40"/>
      <c r="F20" s="41"/>
      <c r="G20" s="41"/>
      <c r="H20" s="41"/>
      <c r="I20" s="41"/>
      <c r="J20" s="41"/>
      <c r="K20" s="41"/>
      <c r="L20" s="41"/>
      <c r="M20" s="41"/>
      <c r="N20" s="41"/>
      <c r="O20" s="42"/>
      <c r="P20" s="17"/>
    </row>
    <row r="21" ht="9.75" customHeight="1" spans="2:16">
      <c r="B21" s="12"/>
      <c r="C21" s="16"/>
      <c r="D21" s="16"/>
      <c r="E21" s="16"/>
      <c r="F21" s="16"/>
      <c r="G21" s="16"/>
      <c r="H21" s="16"/>
      <c r="I21" s="16"/>
      <c r="J21" s="16"/>
      <c r="K21" s="16"/>
      <c r="L21" s="16"/>
      <c r="M21" s="16"/>
      <c r="N21" s="16"/>
      <c r="O21" s="16"/>
      <c r="P21" s="17"/>
    </row>
    <row r="22" ht="19.5" customHeight="1" spans="2:16">
      <c r="B22" s="12"/>
      <c r="C22" s="43" t="s">
        <v>77</v>
      </c>
      <c r="D22" s="26"/>
      <c r="E22" s="28" t="str">
        <f>VLOOKUP(C10,'Formato descripción HU'!B6:O14,12,0)</f>
        <v>Validar la opcion ingresada</v>
      </c>
      <c r="F22" s="27"/>
      <c r="G22" s="27"/>
      <c r="H22" s="26"/>
      <c r="I22" s="16"/>
      <c r="J22" s="43" t="s">
        <v>13</v>
      </c>
      <c r="K22" s="26"/>
      <c r="L22" s="28" t="str">
        <f>VLOOKUP(C10,'Formato descripción HU'!B6:O14,13,0)</f>
        <v>-</v>
      </c>
      <c r="M22" s="27"/>
      <c r="N22" s="27"/>
      <c r="O22" s="26"/>
      <c r="P22" s="17"/>
    </row>
    <row r="23" ht="19.5" customHeight="1" spans="2:16">
      <c r="B23" s="12"/>
      <c r="C23" s="30"/>
      <c r="D23" s="31"/>
      <c r="E23" s="30"/>
      <c r="H23" s="31"/>
      <c r="I23" s="16"/>
      <c r="J23" s="30"/>
      <c r="K23" s="31"/>
      <c r="L23" s="30"/>
      <c r="O23" s="31"/>
      <c r="P23" s="17"/>
    </row>
    <row r="24" ht="19.5" customHeight="1" spans="2:16">
      <c r="B24" s="12"/>
      <c r="C24" s="33"/>
      <c r="D24" s="34"/>
      <c r="E24" s="33"/>
      <c r="F24" s="35"/>
      <c r="G24" s="35"/>
      <c r="H24" s="34"/>
      <c r="I24" s="16"/>
      <c r="J24" s="33"/>
      <c r="K24" s="34"/>
      <c r="L24" s="33"/>
      <c r="M24" s="35"/>
      <c r="N24" s="35"/>
      <c r="O24" s="34"/>
      <c r="P24" s="17"/>
    </row>
    <row r="25" ht="9.75" customHeight="1" spans="2:16">
      <c r="B25" s="44"/>
      <c r="C25" s="45"/>
      <c r="D25" s="45"/>
      <c r="E25" s="45"/>
      <c r="F25" s="45"/>
      <c r="G25" s="45"/>
      <c r="H25" s="45"/>
      <c r="I25" s="45"/>
      <c r="J25" s="45"/>
      <c r="K25" s="45"/>
      <c r="L25" s="45"/>
      <c r="M25" s="45"/>
      <c r="N25" s="45"/>
      <c r="O25" s="45"/>
      <c r="P25" s="46"/>
    </row>
    <row r="26" ht="19.5" customHeight="1"/>
    <row r="27" ht="19.5" customHeight="1"/>
    <row r="28" ht="19.5" customHeight="1"/>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H12:I12"/>
    <mergeCell ref="E13:F13"/>
    <mergeCell ref="H13:I13"/>
    <mergeCell ref="C15:C17"/>
    <mergeCell ref="G15:G17"/>
    <mergeCell ref="L15:L17"/>
    <mergeCell ref="C19:D20"/>
    <mergeCell ref="C22:D24"/>
    <mergeCell ref="E22:H24"/>
    <mergeCell ref="J22:K24"/>
    <mergeCell ref="L22:O24"/>
    <mergeCell ref="D15:E17"/>
    <mergeCell ref="H15:J17"/>
    <mergeCell ref="M15:O17"/>
    <mergeCell ref="E19:O20"/>
  </mergeCells>
  <conditionalFormatting sqref="H10:I11">
    <cfRule type="cellIs" dxfId="0" priority="1" operator="equal">
      <formula>"Atrasado"</formula>
    </cfRule>
    <cfRule type="cellIs" dxfId="1" priority="2" operator="equal">
      <formula>"Terminado"</formula>
    </cfRule>
    <cfRule type="cellIs" dxfId="2" priority="3" operator="equal">
      <formula>"En proceso"</formula>
    </cfRule>
    <cfRule type="cellIs" dxfId="1" priority="4" operator="equal">
      <formula>"No Iniciado"</formula>
    </cfRule>
  </conditionalFormatting>
  <dataValidations count="1">
    <dataValidation type="list" allowBlank="1" showErrorMessage="1" sqref="C10:C11">
      <formula1>'Formato descripción HU'!$B$6:$B$11</formula1>
    </dataValidation>
  </dataValidations>
  <printOptions horizontalCentered="1"/>
  <pageMargins left="0.708661417322835" right="0.708661417322835" top="0.748031496062992" bottom="0.748031496062992" header="0" footer="0"/>
  <pageSetup paperSize="9" orientation="landscape"/>
  <headerFooter/>
  <drawing r:id="rId1"/>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2</vt:i4>
      </vt:variant>
    </vt:vector>
  </HeadingPairs>
  <TitlesOfParts>
    <vt:vector size="2" baseType="lpstr">
      <vt:lpstr>Formato descripción HU</vt:lpstr>
      <vt:lpstr>Historia de Usuario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Christian Padilla</cp:lastModifiedBy>
  <dcterms:created xsi:type="dcterms:W3CDTF">2026-07-13T01:47:00Z</dcterms:created>
  <dcterms:modified xsi:type="dcterms:W3CDTF">2026-07-27T07:26:30Z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B7237C9D851D487ABB6757090653225F_13</vt:lpwstr>
  </property>
  <property fmtid="{D5CDD505-2E9C-101B-9397-08002B2CF9AE}" pid="3" name="KSOProductBuildVer">
    <vt:lpwstr>2058-12.1.0.26880</vt:lpwstr>
  </property>
  <property fmtid="{D5CDD505-2E9C-101B-9397-08002B2CF9AE}" pid="4" name="CalculationRule">
    <vt:i4>0</vt:i4>
  </property>
</Properties>
</file>