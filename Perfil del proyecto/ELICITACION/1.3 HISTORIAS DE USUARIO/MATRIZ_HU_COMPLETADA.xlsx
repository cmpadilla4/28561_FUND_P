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300\Downloads\"/>
    </mc:Choice>
  </mc:AlternateContent>
  <xr:revisionPtr revIDLastSave="0" documentId="13_ncr:1_{E4C36910-5651-4880-85C4-8957066174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<sst xmlns="http://schemas.openxmlformats.org/spreadsheetml/2006/main" count="108" uniqueCount="84">
  <si>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</si>
  <si>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</si>
  <si>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</si>
  <si>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</si>
  <si>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</si>
  <si>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</si>
  <si>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</si>
  <si>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</si>
  <si>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</si>
  <si>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</si>
  <si>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</si>
  <si>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</si>
  <si>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</si>
  <si>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</si>
  <si>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</si>
  <si>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</si>
  <si>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El sistema de tráfico no responde a peatones en tiempo real</t>
  </si>
  <si>
    <t>Implementar detección de solicitud peatonal</t>
  </si>
  <si>
    <t xml:space="preserve">Para los  peatones  del cruce vial </t>
  </si>
  <si>
    <t>1. Quiero presionar el  botón de solicitud de cruce
2. Necesito que detecte los eventos en tiempo real
3. Activando transición segura de luces</t>
  </si>
  <si>
    <t>Padilla Christian / Montenegro Nayerli</t>
  </si>
  <si>
    <t>Alta</t>
  </si>
  <si>
    <t>En proceso</t>
  </si>
  <si>
    <t>Presionar el botón y verificar cambio correcto de luces</t>
  </si>
  <si>
    <t>-</t>
  </si>
  <si>
    <t>Sistema de Prioridad Peatonal</t>
  </si>
  <si>
    <t>REQ002</t>
  </si>
  <si>
    <t>Los cambios de luces pueden generar riesgos si no existen tiempos de transición</t>
  </si>
  <si>
    <t>Diseñar una máquina de estados finita (FSM)</t>
  </si>
  <si>
    <t>Conductores y peatones</t>
  </si>
  <si>
    <t>1. Diseñar estados
2. Programar lógica FSM
3. Verificar tiempos de transición</t>
  </si>
  <si>
    <t>Padilla Christian</t>
  </si>
  <si>
    <t>Validar secuencia verde-amarillo-rojo</t>
  </si>
  <si>
    <t>Control FSM del Semáforo</t>
  </si>
  <si>
    <t>REQ003</t>
  </si>
  <si>
    <t>No existe validación visual del estado actual del semáforo</t>
  </si>
  <si>
    <t>Implementar LEDs de alta luminosidad</t>
  </si>
  <si>
    <t>Usuarios del cruce vial</t>
  </si>
  <si>
    <t>1. Configurar salidas digitales
2. Conectar LEDs
3. Sincronizar con FSM</t>
  </si>
  <si>
    <t>Montenegro Nayerli</t>
  </si>
  <si>
    <t>Media</t>
  </si>
  <si>
    <t>No iniciado</t>
  </si>
  <si>
    <t>Comprobar encendido correcto de LEDs</t>
  </si>
  <si>
    <t>Interfaz Visual del Semáforo</t>
  </si>
  <si>
    <t>REQ004</t>
  </si>
  <si>
    <t>El sistema puede bloquearse si se utilizan retardos tradicionales</t>
  </si>
  <si>
    <t>Implementar arquitectura no bloqueante</t>
  </si>
  <si>
    <t>Operadores y peatones</t>
  </si>
  <si>
    <t>1. Utilizar millis()
2. Evitar delay()
3. Monitorear entradas continuamente</t>
  </si>
  <si>
    <t>Verificar que el sistema siga funcionando durante solicitudes</t>
  </si>
  <si>
    <t>Arquitectura No Bloqueante</t>
  </si>
  <si>
    <t>REQ005</t>
  </si>
  <si>
    <t>La lógica del sistema puede contener errores</t>
  </si>
  <si>
    <t>Realizar pruebas y depuración</t>
  </si>
  <si>
    <t>Equipo de desarrollo</t>
  </si>
  <si>
    <t>1. Ejecutar pruebas
2. Corregir errores
3. Validar tiempos de respuesta</t>
  </si>
  <si>
    <t>Comprobar estabilidad durante múltiples ciclos</t>
  </si>
  <si>
    <t>Pruebas y Validación del Sistema</t>
  </si>
  <si>
    <t>REQ006</t>
  </si>
  <si>
    <t>La integración entre hardware y software puede fallar</t>
  </si>
  <si>
    <t>Integrar Arduino con Code::Blocks</t>
  </si>
  <si>
    <t>Desarrolladores del proyecto</t>
  </si>
  <si>
    <t>1. Configurar SDK Arduino
2. Compilar firmware
3. Transferir programa al hardware</t>
  </si>
  <si>
    <t>Validar comunicación entre IDE y Arduino</t>
  </si>
  <si>
    <t>Integración Hardware-Software</t>
  </si>
  <si>
    <t xml:space="preserve">Media 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</si>
  <si>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</si>
  <si>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</si>
  <si>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</si>
  <si>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</si>
  <si>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</si>
  <si>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</si>
  <si>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</si>
  <si>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</si>
  <si>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</si>
  <si>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</si>
  <si>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</si>
  <si>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</si>
  <si>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Para que el semáforo pueda detener temporalmente el flujo vehicular de forma segura cuando exista una solicitud de cruce</t>
  </si>
  <si>
    <t xml:space="preserve">Para que el sistema controle las transiciones entre las luces verde, amarilla y roja, evitando cambios bruscos o estados peligrosos </t>
  </si>
  <si>
    <t>Para que los usuarios puedan identificar de manera rápida y clara el estado actual del semáforo mediante señales luminosas visibles</t>
  </si>
  <si>
    <t>Para que el sistema continúe monitoreando solicitudes peatonales y ejecutando tareas simultáneamente sin detener su funcionamiento</t>
  </si>
  <si>
    <t>Para que el prototipo opere de manera estable, confiable y segura, detectando y corrigiendo posibles errores antes de su implementación final</t>
  </si>
  <si>
    <t>Para que la comunicación entre el software desarrollado en C++ y la plataforma Arduino funcione y permita ejecutar la lógica de control del semáforo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</si>
</sst>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  <scheme val="minor"/>
    </font>
    <font>
      <sz val="11"/>
      <color theme="1"/>
      <name val="Arial"/>
    </font>
    <font>
      <sz val="11"/>
      <color theme="1"/>
      <name val="Calibri"/>
    </font>
    <font>
      <b/>
      <i/>
      <u/>
      <sz val="16"/>
      <color theme="1"/>
      <name val="Calibri"/>
    </font>
    <font>
      <b/>
      <i/>
      <sz val="11"/>
      <color rgb="FF9C6500"/>
      <name val="Calibri"/>
    </font>
    <font>
      <b/>
      <i/>
      <sz val="11"/>
      <color rgb="FFFF0000"/>
      <name val="Calibri"/>
    </font>
    <font>
      <sz val="10"/>
      <color theme="1"/>
      <name val="Calibri"/>
    </font>
    <font>
      <sz val="11"/>
      <color rgb="FF000000"/>
      <name val="Arial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14" fontId="6" fillId="0" borderId="3" xfId="0" applyNumberFormat="1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6" fillId="0" borderId="7" xfId="0" applyFont="1" applyBorder="1" applyAlignment="1">
      <alignment vertical="center" wrapText="1"/>
    </xf>
    <xf numFmtId="14" fontId="6" fillId="0" borderId="2" xfId="0" applyNumberFormat="1" applyFont="1" applyBorder="1" applyAlignment="1">
      <alignment vertical="center" wrapText="1"/>
    </xf>
    <xf numFmtId="14" fontId="6" fillId="0" borderId="5" xfId="0" applyNumberFormat="1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" fillId="3" borderId="12" xfId="0" applyFont="1" applyFill="1" applyBorder="1"/>
    <xf numFmtId="0" fontId="8" fillId="3" borderId="13" xfId="0" applyFont="1" applyFill="1" applyBorder="1" applyAlignment="1">
      <alignment horizontal="left" vertical="center" wrapText="1"/>
    </xf>
    <xf numFmtId="0" fontId="2" fillId="3" borderId="13" xfId="0" applyFont="1" applyFill="1" applyBorder="1"/>
    <xf numFmtId="0" fontId="1" fillId="3" borderId="13" xfId="0" applyFont="1" applyFill="1" applyBorder="1"/>
    <xf numFmtId="0" fontId="1" fillId="3" borderId="14" xfId="0" applyFont="1" applyFill="1" applyBorder="1"/>
    <xf numFmtId="0" fontId="1" fillId="3" borderId="15" xfId="0" applyFont="1" applyFill="1" applyBorder="1"/>
    <xf numFmtId="0" fontId="11" fillId="4" borderId="5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vertical="center"/>
    </xf>
    <xf numFmtId="0" fontId="1" fillId="3" borderId="16" xfId="0" applyFont="1" applyFill="1" applyBorder="1"/>
    <xf numFmtId="0" fontId="1" fillId="3" borderId="17" xfId="0" applyFont="1" applyFill="1" applyBorder="1"/>
    <xf numFmtId="0" fontId="13" fillId="5" borderId="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vertical="center" wrapText="1"/>
    </xf>
    <xf numFmtId="0" fontId="2" fillId="3" borderId="16" xfId="0" applyFont="1" applyFill="1" applyBorder="1" applyAlignment="1">
      <alignment vertical="center"/>
    </xf>
    <xf numFmtId="0" fontId="13" fillId="3" borderId="16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1" fillId="3" borderId="35" xfId="0" applyFont="1" applyFill="1" applyBorder="1"/>
    <xf numFmtId="0" fontId="1" fillId="3" borderId="36" xfId="0" applyFont="1" applyFill="1" applyBorder="1"/>
    <xf numFmtId="0" fontId="1" fillId="3" borderId="37" xfId="0" applyFont="1" applyFill="1" applyBorder="1"/>
    <xf numFmtId="0" fontId="3" fillId="0" borderId="0" xfId="0" applyFont="1" applyAlignment="1">
      <alignment horizontal="center" vertical="center"/>
    </xf>
    <xf numFmtId="0" fontId="0" fillId="0" borderId="0" xfId="0" applyFont="1" applyAlignment="1"/>
    <xf numFmtId="0" fontId="9" fillId="3" borderId="9" xfId="0" applyFont="1" applyFill="1" applyBorder="1" applyAlignment="1">
      <alignment horizontal="center" vertical="center" wrapText="1"/>
    </xf>
    <xf numFmtId="0" fontId="10" fillId="0" borderId="10" xfId="0" applyFont="1" applyBorder="1"/>
    <xf numFmtId="0" fontId="10" fillId="0" borderId="11" xfId="0" applyFont="1" applyBorder="1"/>
    <xf numFmtId="0" fontId="11" fillId="4" borderId="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11" fillId="6" borderId="18" xfId="0" applyFont="1" applyFill="1" applyBorder="1" applyAlignment="1">
      <alignment horizontal="center" vertical="center"/>
    </xf>
    <xf numFmtId="0" fontId="10" fillId="0" borderId="22" xfId="0" applyFont="1" applyBorder="1"/>
    <xf numFmtId="0" fontId="10" fillId="0" borderId="25" xfId="0" applyFont="1" applyBorder="1"/>
    <xf numFmtId="0" fontId="14" fillId="7" borderId="19" xfId="0" applyFont="1" applyFill="1" applyBorder="1" applyAlignment="1">
      <alignment horizontal="center" vertical="center"/>
    </xf>
    <xf numFmtId="0" fontId="10" fillId="0" borderId="20" xfId="0" applyFont="1" applyBorder="1"/>
    <xf numFmtId="0" fontId="10" fillId="0" borderId="26" xfId="0" applyFont="1" applyBorder="1"/>
    <xf numFmtId="0" fontId="10" fillId="0" borderId="27" xfId="0" applyFont="1" applyBorder="1"/>
    <xf numFmtId="0" fontId="11" fillId="4" borderId="19" xfId="0" applyFont="1" applyFill="1" applyBorder="1" applyAlignment="1">
      <alignment horizontal="center" vertical="center"/>
    </xf>
    <xf numFmtId="0" fontId="10" fillId="0" borderId="23" xfId="0" applyFont="1" applyBorder="1"/>
    <xf numFmtId="0" fontId="10" fillId="0" borderId="24" xfId="0" applyFont="1" applyBorder="1"/>
    <xf numFmtId="0" fontId="2" fillId="5" borderId="19" xfId="0" applyFont="1" applyFill="1" applyBorder="1" applyAlignment="1">
      <alignment horizontal="center" vertical="center"/>
    </xf>
    <xf numFmtId="0" fontId="10" fillId="0" borderId="21" xfId="0" applyFont="1" applyBorder="1"/>
    <xf numFmtId="0" fontId="10" fillId="0" borderId="28" xfId="0" applyFont="1" applyBorder="1"/>
    <xf numFmtId="0" fontId="2" fillId="5" borderId="19" xfId="0" applyFont="1" applyFill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/>
    </xf>
    <xf numFmtId="0" fontId="10" fillId="0" borderId="30" xfId="0" applyFont="1" applyBorder="1"/>
    <xf numFmtId="0" fontId="10" fillId="0" borderId="31" xfId="0" applyFont="1" applyBorder="1"/>
    <xf numFmtId="0" fontId="10" fillId="0" borderId="32" xfId="0" applyFont="1" applyBorder="1"/>
    <xf numFmtId="0" fontId="10" fillId="0" borderId="33" xfId="0" applyFont="1" applyBorder="1"/>
    <xf numFmtId="0" fontId="10" fillId="0" borderId="34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topLeftCell="A4" workbookViewId="0">
      <selection activeCell="E11" sqref="E11"/>
    </sheetView>
  </sheetViews>
  <sheetFormatPr baseColWidth="10" defaultColWidth="12.625" defaultRowHeight="15" customHeight="1" x14ac:dyDescent="0.2"/>
  <cols>
    <col min="1" max="1" width="4.625" customWidth="1"/>
    <col min="2" max="2" width="12" customWidth="1"/>
    <col min="3" max="5" width="35" customWidth="1"/>
    <col min="6" max="6" width="28" customWidth="1"/>
    <col min="7" max="7" width="45" customWidth="1"/>
    <col min="8" max="8" width="30" customWidth="1"/>
    <col min="9" max="10" width="18" customWidth="1"/>
    <col min="11" max="11" width="14" customWidth="1"/>
    <col min="12" max="12" width="15" customWidth="1"/>
    <col min="13" max="13" width="40" customWidth="1"/>
    <col min="14" max="14" width="18" customWidth="1"/>
    <col min="15" max="15" width="35" customWidth="1"/>
    <col min="16" max="26" width="9.375" customWidth="1"/>
  </cols>
  <sheetData>
    <row r="1" spans="1:26" ht="14.25" customHeight="1" x14ac:dyDescent="0.2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2">
      <c r="A3" s="1"/>
      <c r="B3" s="46" t="s">
        <v>0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.25" customHeight="1" x14ac:dyDescent="0.25">
      <c r="A4" s="1"/>
      <c r="B4" s="1"/>
      <c r="C4" s="1"/>
      <c r="D4" s="1"/>
      <c r="E4" s="1"/>
      <c r="F4" s="1"/>
      <c r="G4" s="1"/>
      <c r="H4" s="5"/>
      <c r="I4" s="2"/>
      <c r="J4" s="2"/>
      <c r="K4" s="3"/>
      <c r="L4" s="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78.75" customHeight="1" x14ac:dyDescent="0.2">
      <c r="A5" s="1"/>
      <c r="B5" s="6" t="s">
        <v>1</v>
      </c>
      <c r="C5" s="6" t="s">
        <v>2</v>
      </c>
      <c r="D5" s="7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6" t="s">
        <v>12</v>
      </c>
      <c r="N5" s="6" t="s">
        <v>13</v>
      </c>
      <c r="O5" s="6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72" customHeight="1" x14ac:dyDescent="0.2">
      <c r="A6" s="1"/>
      <c r="B6" s="8" t="s">
        <v>15</v>
      </c>
      <c r="C6" s="9" t="s">
        <v>16</v>
      </c>
      <c r="D6" s="9" t="s">
        <v>17</v>
      </c>
      <c r="E6" s="10" t="s">
        <v>78</v>
      </c>
      <c r="F6" s="10" t="s">
        <v>18</v>
      </c>
      <c r="G6" s="10" t="s">
        <v>19</v>
      </c>
      <c r="H6" s="9" t="s">
        <v>20</v>
      </c>
      <c r="I6" s="9">
        <v>5</v>
      </c>
      <c r="J6" s="11">
        <v>46160</v>
      </c>
      <c r="K6" s="12" t="s">
        <v>21</v>
      </c>
      <c r="L6" s="13" t="s">
        <v>22</v>
      </c>
      <c r="M6" s="14" t="s">
        <v>23</v>
      </c>
      <c r="N6" s="9" t="s">
        <v>24</v>
      </c>
      <c r="O6" s="9" t="s">
        <v>25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3.5" customHeight="1" x14ac:dyDescent="0.2">
      <c r="A7" s="1"/>
      <c r="B7" s="8" t="s">
        <v>26</v>
      </c>
      <c r="C7" s="9" t="s">
        <v>27</v>
      </c>
      <c r="D7" s="9" t="s">
        <v>28</v>
      </c>
      <c r="E7" s="9" t="s">
        <v>79</v>
      </c>
      <c r="F7" s="13" t="s">
        <v>29</v>
      </c>
      <c r="G7" s="9" t="s">
        <v>30</v>
      </c>
      <c r="H7" s="9" t="s">
        <v>31</v>
      </c>
      <c r="I7" s="9">
        <v>6</v>
      </c>
      <c r="J7" s="11">
        <v>46162</v>
      </c>
      <c r="K7" s="9" t="s">
        <v>21</v>
      </c>
      <c r="L7" s="9" t="s">
        <v>22</v>
      </c>
      <c r="M7" s="9" t="s">
        <v>32</v>
      </c>
      <c r="N7" s="9" t="s">
        <v>24</v>
      </c>
      <c r="O7" s="9" t="s">
        <v>33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9.75" customHeight="1" x14ac:dyDescent="0.2">
      <c r="A8" s="15"/>
      <c r="B8" s="8" t="s">
        <v>34</v>
      </c>
      <c r="C8" s="16" t="s">
        <v>35</v>
      </c>
      <c r="D8" s="8" t="s">
        <v>36</v>
      </c>
      <c r="E8" s="8" t="s">
        <v>80</v>
      </c>
      <c r="F8" s="8" t="s">
        <v>37</v>
      </c>
      <c r="G8" s="8" t="s">
        <v>38</v>
      </c>
      <c r="H8" s="8" t="s">
        <v>39</v>
      </c>
      <c r="I8" s="8">
        <v>4</v>
      </c>
      <c r="J8" s="17">
        <v>46165</v>
      </c>
      <c r="K8" s="9" t="s">
        <v>40</v>
      </c>
      <c r="L8" s="9" t="s">
        <v>41</v>
      </c>
      <c r="M8" s="8" t="s">
        <v>42</v>
      </c>
      <c r="N8" s="13" t="s">
        <v>24</v>
      </c>
      <c r="O8" s="8" t="s">
        <v>43</v>
      </c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78" customHeight="1" x14ac:dyDescent="0.2">
      <c r="A9" s="1"/>
      <c r="B9" s="8" t="s">
        <v>44</v>
      </c>
      <c r="C9" s="13" t="s">
        <v>45</v>
      </c>
      <c r="D9" s="13" t="s">
        <v>46</v>
      </c>
      <c r="E9" s="13" t="s">
        <v>81</v>
      </c>
      <c r="F9" s="8" t="s">
        <v>47</v>
      </c>
      <c r="G9" s="13" t="s">
        <v>48</v>
      </c>
      <c r="H9" s="13" t="s">
        <v>31</v>
      </c>
      <c r="I9" s="13">
        <v>7</v>
      </c>
      <c r="J9" s="17">
        <v>46167</v>
      </c>
      <c r="K9" s="9" t="s">
        <v>21</v>
      </c>
      <c r="L9" s="9" t="s">
        <v>22</v>
      </c>
      <c r="M9" s="13" t="s">
        <v>49</v>
      </c>
      <c r="N9" s="13" t="s">
        <v>24</v>
      </c>
      <c r="O9" s="13" t="s">
        <v>50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78" customHeight="1" x14ac:dyDescent="0.2">
      <c r="A10" s="1"/>
      <c r="B10" s="8" t="s">
        <v>51</v>
      </c>
      <c r="C10" s="13" t="s">
        <v>52</v>
      </c>
      <c r="D10" s="13" t="s">
        <v>53</v>
      </c>
      <c r="E10" s="13" t="s">
        <v>82</v>
      </c>
      <c r="F10" s="13" t="s">
        <v>54</v>
      </c>
      <c r="G10" s="13" t="s">
        <v>55</v>
      </c>
      <c r="H10" s="13" t="s">
        <v>39</v>
      </c>
      <c r="I10" s="13">
        <v>5</v>
      </c>
      <c r="J10" s="18">
        <v>46171</v>
      </c>
      <c r="K10" s="9" t="s">
        <v>40</v>
      </c>
      <c r="L10" s="9" t="s">
        <v>41</v>
      </c>
      <c r="M10" s="13" t="s">
        <v>56</v>
      </c>
      <c r="N10" s="13" t="s">
        <v>24</v>
      </c>
      <c r="O10" s="13" t="s">
        <v>57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6" customHeight="1" x14ac:dyDescent="0.2">
      <c r="A11" s="1"/>
      <c r="B11" s="8" t="s">
        <v>58</v>
      </c>
      <c r="C11" s="13" t="s">
        <v>59</v>
      </c>
      <c r="D11" s="13" t="s">
        <v>60</v>
      </c>
      <c r="E11" s="13" t="s">
        <v>83</v>
      </c>
      <c r="F11" s="8" t="s">
        <v>61</v>
      </c>
      <c r="G11" s="13" t="s">
        <v>62</v>
      </c>
      <c r="H11" s="13" t="s">
        <v>20</v>
      </c>
      <c r="I11" s="13">
        <v>6</v>
      </c>
      <c r="J11" s="17">
        <v>46166</v>
      </c>
      <c r="K11" s="9" t="s">
        <v>21</v>
      </c>
      <c r="L11" s="13" t="s">
        <v>22</v>
      </c>
      <c r="M11" s="13" t="s">
        <v>63</v>
      </c>
      <c r="N11" s="13" t="s">
        <v>24</v>
      </c>
      <c r="O11" s="13" t="s">
        <v>64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99.75" customHeight="1" x14ac:dyDescent="0.2">
      <c r="A12" s="1"/>
      <c r="B12" s="19"/>
      <c r="C12" s="20"/>
      <c r="D12" s="20"/>
      <c r="E12" s="20"/>
      <c r="F12" s="20"/>
      <c r="G12" s="20"/>
      <c r="H12" s="20"/>
      <c r="I12" s="20"/>
      <c r="J12" s="21"/>
      <c r="K12" s="22"/>
      <c r="L12" s="20"/>
      <c r="M12" s="20"/>
      <c r="N12" s="20"/>
      <c r="O12" s="20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72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65.25" customHeight="1" x14ac:dyDescent="0.2">
      <c r="A14" s="1"/>
      <c r="B14" s="1"/>
      <c r="C14" s="1"/>
      <c r="D14" s="1"/>
      <c r="E14" s="1"/>
      <c r="F14" s="1"/>
      <c r="G14" s="1"/>
      <c r="H14" s="1"/>
      <c r="I14" s="2"/>
      <c r="J14" s="2"/>
      <c r="K14" s="23"/>
      <c r="L14" s="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4.5" customHeight="1" x14ac:dyDescent="0.2">
      <c r="A15" s="1"/>
      <c r="B15" s="1"/>
      <c r="C15" s="1"/>
      <c r="D15" s="1"/>
      <c r="E15" s="1"/>
      <c r="F15" s="1"/>
      <c r="G15" s="1"/>
      <c r="H15" s="1"/>
      <c r="I15" s="2"/>
      <c r="J15" s="2"/>
      <c r="K15" s="23"/>
      <c r="L15" s="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25">
      <c r="A16" s="1"/>
      <c r="B16" s="1"/>
      <c r="C16" s="1"/>
      <c r="D16" s="1"/>
      <c r="E16" s="1"/>
      <c r="F16" s="1"/>
      <c r="G16" s="1"/>
      <c r="H16" s="1"/>
      <c r="I16" s="2"/>
      <c r="J16" s="2"/>
      <c r="K16" s="3"/>
      <c r="L16" s="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25">
      <c r="A17" s="1"/>
      <c r="B17" s="1"/>
      <c r="C17" s="1"/>
      <c r="D17" s="1"/>
      <c r="E17" s="1"/>
      <c r="F17" s="1"/>
      <c r="G17" s="1"/>
      <c r="H17" s="1"/>
      <c r="I17" s="2"/>
      <c r="J17" s="2"/>
      <c r="K17" s="3"/>
      <c r="L17" s="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 x14ac:dyDescent="0.25">
      <c r="A18" s="1"/>
      <c r="B18" s="1"/>
      <c r="C18" s="1"/>
      <c r="D18" s="1"/>
      <c r="E18" s="1"/>
      <c r="F18" s="1"/>
      <c r="G18" s="1"/>
      <c r="H18" s="1"/>
      <c r="I18" s="2"/>
      <c r="J18" s="2"/>
      <c r="K18" s="3"/>
      <c r="L18" s="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5">
      <c r="A19" s="1"/>
      <c r="B19" s="1"/>
      <c r="C19" s="1"/>
      <c r="D19" s="1"/>
      <c r="E19" s="1"/>
      <c r="F19" s="1"/>
      <c r="G19" s="1"/>
      <c r="H19" s="1"/>
      <c r="I19" s="2"/>
      <c r="J19" s="2"/>
      <c r="K19" s="24" t="s">
        <v>21</v>
      </c>
      <c r="L19" s="25" t="s">
        <v>41</v>
      </c>
      <c r="M19" s="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25">
      <c r="A20" s="1"/>
      <c r="B20" s="1"/>
      <c r="C20" s="1"/>
      <c r="D20" s="1"/>
      <c r="E20" s="1"/>
      <c r="F20" s="1"/>
      <c r="G20" s="1"/>
      <c r="H20" s="1"/>
      <c r="I20" s="2"/>
      <c r="J20" s="2"/>
      <c r="K20" s="24" t="s">
        <v>65</v>
      </c>
      <c r="L20" s="25" t="s">
        <v>22</v>
      </c>
      <c r="M20" s="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25">
      <c r="A21" s="1"/>
      <c r="B21" s="1"/>
      <c r="C21" s="1"/>
      <c r="D21" s="1"/>
      <c r="E21" s="1"/>
      <c r="F21" s="1"/>
      <c r="G21" s="1"/>
      <c r="H21" s="1"/>
      <c r="I21" s="2"/>
      <c r="J21" s="2"/>
      <c r="K21" s="24" t="s">
        <v>66</v>
      </c>
      <c r="L21" s="25" t="s">
        <v>67</v>
      </c>
      <c r="M21" s="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25">
      <c r="A22" s="1"/>
      <c r="B22" s="1"/>
      <c r="C22" s="1"/>
      <c r="D22" s="1"/>
      <c r="E22" s="1"/>
      <c r="F22" s="1"/>
      <c r="G22" s="1"/>
      <c r="H22" s="1"/>
      <c r="I22" s="2"/>
      <c r="J22" s="2"/>
      <c r="K22" s="24"/>
      <c r="L22" s="25" t="s">
        <v>68</v>
      </c>
      <c r="M22" s="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5">
      <c r="A23" s="1"/>
      <c r="B23" s="1"/>
      <c r="C23" s="1"/>
      <c r="D23" s="1"/>
      <c r="E23" s="1"/>
      <c r="F23" s="1"/>
      <c r="G23" s="1"/>
      <c r="H23" s="1"/>
      <c r="I23" s="2"/>
      <c r="J23" s="2"/>
      <c r="K23" s="3"/>
      <c r="L23" s="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5">
      <c r="A24" s="1"/>
      <c r="B24" s="1"/>
      <c r="C24" s="1"/>
      <c r="D24" s="1"/>
      <c r="E24" s="1"/>
      <c r="F24" s="1"/>
      <c r="G24" s="1"/>
      <c r="H24" s="1"/>
      <c r="I24" s="2"/>
      <c r="J24" s="2"/>
      <c r="K24" s="3"/>
      <c r="L24" s="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25">
      <c r="A25" s="1"/>
      <c r="B25" s="1"/>
      <c r="C25" s="1"/>
      <c r="D25" s="1"/>
      <c r="E25" s="1"/>
      <c r="F25" s="1"/>
      <c r="G25" s="1"/>
      <c r="H25" s="1"/>
      <c r="I25" s="2"/>
      <c r="J25" s="2"/>
      <c r="K25" s="3"/>
      <c r="L25" s="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5">
      <c r="A26" s="1"/>
      <c r="B26" s="1"/>
      <c r="C26" s="1"/>
      <c r="D26" s="1"/>
      <c r="E26" s="1"/>
      <c r="F26" s="1"/>
      <c r="G26" s="1"/>
      <c r="H26" s="1"/>
      <c r="I26" s="2"/>
      <c r="J26" s="2"/>
      <c r="K26" s="3"/>
      <c r="L26" s="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5">
      <c r="A27" s="1"/>
      <c r="B27" s="1"/>
      <c r="C27" s="1"/>
      <c r="D27" s="1"/>
      <c r="E27" s="1"/>
      <c r="F27" s="1"/>
      <c r="G27" s="1"/>
      <c r="H27" s="1"/>
      <c r="I27" s="2"/>
      <c r="J27" s="2"/>
      <c r="K27" s="3"/>
      <c r="L27" s="4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5">
      <c r="A28" s="1"/>
      <c r="B28" s="1"/>
      <c r="C28" s="1"/>
      <c r="D28" s="1"/>
      <c r="E28" s="1"/>
      <c r="F28" s="1"/>
      <c r="G28" s="1"/>
      <c r="H28" s="1"/>
      <c r="I28" s="2"/>
      <c r="J28" s="2"/>
      <c r="K28" s="3"/>
      <c r="L28" s="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5">
      <c r="A29" s="1"/>
      <c r="B29" s="1"/>
      <c r="C29" s="1"/>
      <c r="D29" s="1"/>
      <c r="E29" s="1"/>
      <c r="F29" s="1"/>
      <c r="G29" s="1"/>
      <c r="H29" s="1"/>
      <c r="I29" s="2"/>
      <c r="J29" s="2"/>
      <c r="K29" s="3"/>
      <c r="L29" s="4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5">
      <c r="A30" s="1"/>
      <c r="B30" s="1"/>
      <c r="C30" s="1"/>
      <c r="D30" s="1"/>
      <c r="E30" s="1"/>
      <c r="F30" s="1"/>
      <c r="G30" s="1"/>
      <c r="H30" s="1"/>
      <c r="I30" s="2"/>
      <c r="J30" s="2"/>
      <c r="K30" s="3"/>
      <c r="L30" s="4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5">
      <c r="A31" s="1"/>
      <c r="B31" s="1"/>
      <c r="C31" s="1"/>
      <c r="D31" s="1"/>
      <c r="E31" s="1"/>
      <c r="F31" s="1"/>
      <c r="G31" s="1"/>
      <c r="H31" s="1"/>
      <c r="I31" s="2"/>
      <c r="J31" s="2"/>
      <c r="K31" s="3"/>
      <c r="L31" s="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5">
      <c r="A32" s="1"/>
      <c r="B32" s="1"/>
      <c r="C32" s="1"/>
      <c r="D32" s="1"/>
      <c r="E32" s="1"/>
      <c r="F32" s="1"/>
      <c r="G32" s="1"/>
      <c r="H32" s="1"/>
      <c r="I32" s="2"/>
      <c r="J32" s="2"/>
      <c r="K32" s="3"/>
      <c r="L32" s="4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5">
      <c r="A33" s="1"/>
      <c r="B33" s="1"/>
      <c r="C33" s="1"/>
      <c r="D33" s="1"/>
      <c r="E33" s="1"/>
      <c r="F33" s="1"/>
      <c r="G33" s="1"/>
      <c r="H33" s="1"/>
      <c r="I33" s="2"/>
      <c r="J33" s="2"/>
      <c r="K33" s="3"/>
      <c r="L33" s="4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2"/>
      <c r="J34" s="2"/>
      <c r="K34" s="3"/>
      <c r="L34" s="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2"/>
      <c r="J35" s="2"/>
      <c r="K35" s="3"/>
      <c r="L35" s="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2"/>
      <c r="J36" s="2"/>
      <c r="K36" s="3"/>
      <c r="L36" s="4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2"/>
      <c r="J37" s="2"/>
      <c r="K37" s="3"/>
      <c r="L37" s="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2"/>
      <c r="J38" s="2"/>
      <c r="K38" s="3"/>
      <c r="L38" s="4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2"/>
      <c r="J39" s="2"/>
      <c r="K39" s="3"/>
      <c r="L39" s="4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2"/>
      <c r="J40" s="2"/>
      <c r="K40" s="3"/>
      <c r="L40" s="4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2"/>
      <c r="J41" s="2"/>
      <c r="K41" s="3"/>
      <c r="L41" s="4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2"/>
      <c r="J42" s="2"/>
      <c r="K42" s="3"/>
      <c r="L42" s="4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2"/>
      <c r="J43" s="2"/>
      <c r="K43" s="3"/>
      <c r="L43" s="4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4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4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4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4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4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4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4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4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4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4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4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4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4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4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4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4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4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4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4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4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4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4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4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4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4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4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4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4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4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4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4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4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4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4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4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4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4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4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4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4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4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4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4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4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4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4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4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4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4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4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4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4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4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4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4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4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4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4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4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4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4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4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4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4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4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4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4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4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4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4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4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4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4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4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4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4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4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4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4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4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4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4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4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4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4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4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4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4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4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4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4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4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4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4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4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4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4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4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4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4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4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4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4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4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4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4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4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4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4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4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4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4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4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4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4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4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4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4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4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4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4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4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4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4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4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4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4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4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4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4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4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4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4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4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4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4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4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4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4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4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4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4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4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4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4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4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4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4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4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4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4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3"/>
      <c r="L208" s="4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3"/>
      <c r="L209" s="4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3"/>
      <c r="L210" s="4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3"/>
      <c r="L211" s="4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3"/>
      <c r="L212" s="4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3"/>
      <c r="L213" s="4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3"/>
      <c r="L214" s="4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3"/>
      <c r="L215" s="4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3"/>
      <c r="L216" s="4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3"/>
      <c r="L217" s="4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3"/>
      <c r="L218" s="4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3"/>
      <c r="L219" s="4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3"/>
      <c r="L220" s="4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3"/>
      <c r="L221" s="4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3"/>
      <c r="L222" s="4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3:O3"/>
  </mergeCells>
  <dataValidations count="2">
    <dataValidation type="list" allowBlank="1" showErrorMessage="1" sqref="L6:L12" xr:uid="{00000000-0002-0000-0000-000000000000}">
      <formula1>$L$19:$L$22</formula1>
    </dataValidation>
    <dataValidation type="list" allowBlank="1" showErrorMessage="1" sqref="K6:K12" xr:uid="{00000000-0002-0000-0000-000001000000}">
      <formula1>$K$19:$K$21</formula1>
    </dataValidation>
  </dataValidations>
  <printOptions horizontalCentered="1"/>
  <pageMargins left="0.31496062992125978" right="0.31496062992125978" top="0.74803149606299213" bottom="1.9171541888135479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workbookViewId="0"/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</cols>
  <sheetData>
    <row r="1" spans="1:26" ht="14.2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hidden="1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hidden="1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hidden="1" customHeight="1" x14ac:dyDescent="0.25">
      <c r="A4" s="1"/>
      <c r="B4" s="1"/>
      <c r="C4" s="26"/>
      <c r="D4" s="26"/>
      <c r="E4" s="26"/>
      <c r="F4" s="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hidden="1" customHeight="1" x14ac:dyDescent="0.25">
      <c r="A5" s="1"/>
      <c r="B5" s="1"/>
      <c r="C5" s="26"/>
      <c r="D5" s="26"/>
      <c r="E5" s="26"/>
      <c r="F5" s="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9.75" customHeight="1" x14ac:dyDescent="0.2">
      <c r="A6" s="1"/>
      <c r="B6" s="48" t="s">
        <v>69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50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9.75" customHeight="1" x14ac:dyDescent="0.2">
      <c r="A7" s="1"/>
      <c r="B7" s="1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.75" customHeight="1" x14ac:dyDescent="0.25">
      <c r="A8" s="1"/>
      <c r="B8" s="28"/>
      <c r="C8" s="29"/>
      <c r="D8" s="29"/>
      <c r="E8" s="29"/>
      <c r="F8" s="30"/>
      <c r="G8" s="31"/>
      <c r="H8" s="31"/>
      <c r="I8" s="31"/>
      <c r="J8" s="31"/>
      <c r="K8" s="31"/>
      <c r="L8" s="31"/>
      <c r="M8" s="31"/>
      <c r="N8" s="31"/>
      <c r="O8" s="31"/>
      <c r="P8" s="32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1"/>
      <c r="B9" s="33"/>
      <c r="C9" s="34" t="s">
        <v>1</v>
      </c>
      <c r="D9" s="35"/>
      <c r="E9" s="51" t="s">
        <v>70</v>
      </c>
      <c r="F9" s="50"/>
      <c r="G9" s="35"/>
      <c r="H9" s="51" t="s">
        <v>11</v>
      </c>
      <c r="I9" s="50"/>
      <c r="J9" s="36"/>
      <c r="K9" s="36"/>
      <c r="L9" s="36"/>
      <c r="M9" s="36"/>
      <c r="N9" s="36"/>
      <c r="O9" s="36"/>
      <c r="P9" s="37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"/>
      <c r="B10" s="33"/>
      <c r="C10" s="38" t="s">
        <v>15</v>
      </c>
      <c r="D10" s="39"/>
      <c r="E10" s="52" t="str">
        <f>VLOOKUP(C10,'Formato descripción HU'!B6:O15,5,0)</f>
        <v xml:space="preserve">Para los  peatones  del cruce vial </v>
      </c>
      <c r="F10" s="50"/>
      <c r="G10" s="40"/>
      <c r="H10" s="52" t="str">
        <f>VLOOKUP(C10,'Formato descripción HU'!B6:O15,11,0)</f>
        <v>En proceso</v>
      </c>
      <c r="I10" s="50"/>
      <c r="J10" s="40"/>
      <c r="K10" s="36"/>
      <c r="L10" s="36"/>
      <c r="M10" s="36"/>
      <c r="N10" s="36"/>
      <c r="O10" s="36"/>
      <c r="P10" s="3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9.75" customHeight="1" x14ac:dyDescent="0.2">
      <c r="A11" s="1"/>
      <c r="B11" s="33"/>
      <c r="C11" s="41"/>
      <c r="D11" s="39"/>
      <c r="E11" s="42"/>
      <c r="F11" s="42"/>
      <c r="G11" s="40"/>
      <c r="H11" s="42"/>
      <c r="I11" s="42"/>
      <c r="J11" s="40"/>
      <c r="K11" s="42"/>
      <c r="L11" s="42"/>
      <c r="M11" s="36"/>
      <c r="N11" s="42"/>
      <c r="O11" s="42"/>
      <c r="P11" s="37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">
      <c r="A12" s="1"/>
      <c r="B12" s="33"/>
      <c r="C12" s="34" t="s">
        <v>71</v>
      </c>
      <c r="D12" s="39"/>
      <c r="E12" s="51" t="s">
        <v>10</v>
      </c>
      <c r="F12" s="50"/>
      <c r="G12" s="40"/>
      <c r="H12" s="51" t="s">
        <v>72</v>
      </c>
      <c r="I12" s="50"/>
      <c r="J12" s="40"/>
      <c r="K12" s="42"/>
      <c r="L12" s="42"/>
      <c r="M12" s="36"/>
      <c r="N12" s="42"/>
      <c r="O12" s="42"/>
      <c r="P12" s="37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x14ac:dyDescent="0.2">
      <c r="A13" s="1"/>
      <c r="B13" s="33"/>
      <c r="C13" s="38">
        <f>VLOOKUP('Historia de Usuario'!C10,'Formato descripción HU'!B6:O15,8,0)</f>
        <v>5</v>
      </c>
      <c r="D13" s="39"/>
      <c r="E13" s="52" t="str">
        <f>VLOOKUP(C10,'Formato descripción HU'!B6:O15,10,0)</f>
        <v>Alta</v>
      </c>
      <c r="F13" s="50"/>
      <c r="G13" s="40"/>
      <c r="H13" s="52" t="str">
        <f>VLOOKUP(C10,'Formato descripción HU'!B6:O15,7,0)</f>
        <v>Padilla Christian / Montenegro Nayerli</v>
      </c>
      <c r="I13" s="50"/>
      <c r="J13" s="40"/>
      <c r="K13" s="42"/>
      <c r="L13" s="42"/>
      <c r="M13" s="36"/>
      <c r="N13" s="42"/>
      <c r="O13" s="42"/>
      <c r="P13" s="37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.75" customHeight="1" x14ac:dyDescent="0.2">
      <c r="A14" s="1"/>
      <c r="B14" s="33"/>
      <c r="C14" s="36"/>
      <c r="D14" s="39"/>
      <c r="E14" s="36"/>
      <c r="F14" s="36"/>
      <c r="G14" s="40"/>
      <c r="H14" s="40"/>
      <c r="I14" s="36"/>
      <c r="J14" s="36"/>
      <c r="K14" s="36"/>
      <c r="L14" s="36"/>
      <c r="M14" s="36"/>
      <c r="N14" s="36"/>
      <c r="O14" s="36"/>
      <c r="P14" s="37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2">
      <c r="A15" s="1"/>
      <c r="B15" s="33"/>
      <c r="C15" s="53" t="s">
        <v>73</v>
      </c>
      <c r="D15" s="66" t="str">
        <f>VLOOKUP(C10,'Formato descripción HU'!B6:O15,3,0)</f>
        <v>Implementar detección de solicitud peatonal</v>
      </c>
      <c r="E15" s="57"/>
      <c r="F15" s="36"/>
      <c r="G15" s="53" t="s">
        <v>74</v>
      </c>
      <c r="H15" s="66" t="str">
        <f>VLOOKUP(C10,'Formato descripción HU'!B6:O15,4,0)</f>
        <v>Para que el semáforo pueda detener temporalmente el flujo vehicular de forma segura cuando exista una solicitud de cruce</v>
      </c>
      <c r="I15" s="64"/>
      <c r="J15" s="57"/>
      <c r="K15" s="36"/>
      <c r="L15" s="53" t="s">
        <v>75</v>
      </c>
      <c r="M15" s="63" t="str">
        <f>VLOOKUP(C10,'Formato descripción HU'!B6:O15,6,0)</f>
        <v>1. Quiero presionar el  botón de solicitud de cruce
2. Necesito que detecte los eventos en tiempo real
3. Activando transición segura de luces</v>
      </c>
      <c r="N15" s="64"/>
      <c r="O15" s="57"/>
      <c r="P15" s="37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">
      <c r="A16" s="1"/>
      <c r="B16" s="33"/>
      <c r="C16" s="54"/>
      <c r="D16" s="61"/>
      <c r="E16" s="62"/>
      <c r="F16" s="36"/>
      <c r="G16" s="54"/>
      <c r="H16" s="61"/>
      <c r="I16" s="47"/>
      <c r="J16" s="62"/>
      <c r="K16" s="36"/>
      <c r="L16" s="54"/>
      <c r="M16" s="61"/>
      <c r="N16" s="47"/>
      <c r="O16" s="62"/>
      <c r="P16" s="37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2">
      <c r="A17" s="1"/>
      <c r="B17" s="33"/>
      <c r="C17" s="55"/>
      <c r="D17" s="58"/>
      <c r="E17" s="59"/>
      <c r="F17" s="36"/>
      <c r="G17" s="55"/>
      <c r="H17" s="58"/>
      <c r="I17" s="65"/>
      <c r="J17" s="59"/>
      <c r="K17" s="36"/>
      <c r="L17" s="55"/>
      <c r="M17" s="58"/>
      <c r="N17" s="65"/>
      <c r="O17" s="59"/>
      <c r="P17" s="37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.75" customHeight="1" x14ac:dyDescent="0.2">
      <c r="A18" s="1"/>
      <c r="B18" s="33"/>
      <c r="C18" s="36"/>
      <c r="D18" s="36"/>
      <c r="E18" s="36"/>
      <c r="F18" s="36"/>
      <c r="G18" s="40"/>
      <c r="H18" s="40"/>
      <c r="I18" s="40"/>
      <c r="J18" s="36"/>
      <c r="K18" s="36"/>
      <c r="L18" s="36"/>
      <c r="M18" s="36"/>
      <c r="N18" s="36"/>
      <c r="O18" s="36"/>
      <c r="P18" s="37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">
      <c r="A19" s="1"/>
      <c r="B19" s="33"/>
      <c r="C19" s="56" t="s">
        <v>76</v>
      </c>
      <c r="D19" s="57"/>
      <c r="E19" s="67" t="str">
        <f>VLOOKUP(C10,'Formato descripción HU'!B6:O15,14,0)</f>
        <v>Sistema de Prioridad Peatonal</v>
      </c>
      <c r="F19" s="68"/>
      <c r="G19" s="68"/>
      <c r="H19" s="68"/>
      <c r="I19" s="68"/>
      <c r="J19" s="68"/>
      <c r="K19" s="68"/>
      <c r="L19" s="68"/>
      <c r="M19" s="68"/>
      <c r="N19" s="68"/>
      <c r="O19" s="69"/>
      <c r="P19" s="37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2">
      <c r="A20" s="1"/>
      <c r="B20" s="33"/>
      <c r="C20" s="58"/>
      <c r="D20" s="59"/>
      <c r="E20" s="70"/>
      <c r="F20" s="71"/>
      <c r="G20" s="71"/>
      <c r="H20" s="71"/>
      <c r="I20" s="71"/>
      <c r="J20" s="71"/>
      <c r="K20" s="71"/>
      <c r="L20" s="71"/>
      <c r="M20" s="71"/>
      <c r="N20" s="71"/>
      <c r="O20" s="72"/>
      <c r="P20" s="37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9.75" customHeight="1" x14ac:dyDescent="0.2">
      <c r="A21" s="1"/>
      <c r="B21" s="33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7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2">
      <c r="A22" s="1"/>
      <c r="B22" s="33"/>
      <c r="C22" s="60" t="s">
        <v>77</v>
      </c>
      <c r="D22" s="57"/>
      <c r="E22" s="63" t="str">
        <f>VLOOKUP(C10,'Formato descripción HU'!B6:O15,12,0)</f>
        <v>Presionar el botón y verificar cambio correcto de luces</v>
      </c>
      <c r="F22" s="64"/>
      <c r="G22" s="64"/>
      <c r="H22" s="57"/>
      <c r="I22" s="36"/>
      <c r="J22" s="60" t="s">
        <v>13</v>
      </c>
      <c r="K22" s="57"/>
      <c r="L22" s="63" t="str">
        <f>VLOOKUP(C10,'Formato descripción HU'!B6:O15,13,0)</f>
        <v>-</v>
      </c>
      <c r="M22" s="64"/>
      <c r="N22" s="64"/>
      <c r="O22" s="57"/>
      <c r="P22" s="37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">
      <c r="A23" s="1"/>
      <c r="B23" s="33"/>
      <c r="C23" s="61"/>
      <c r="D23" s="62"/>
      <c r="E23" s="61"/>
      <c r="F23" s="47"/>
      <c r="G23" s="47"/>
      <c r="H23" s="62"/>
      <c r="I23" s="36"/>
      <c r="J23" s="61"/>
      <c r="K23" s="62"/>
      <c r="L23" s="61"/>
      <c r="M23" s="47"/>
      <c r="N23" s="47"/>
      <c r="O23" s="62"/>
      <c r="P23" s="37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">
      <c r="A24" s="1"/>
      <c r="B24" s="33"/>
      <c r="C24" s="58"/>
      <c r="D24" s="59"/>
      <c r="E24" s="58"/>
      <c r="F24" s="65"/>
      <c r="G24" s="65"/>
      <c r="H24" s="59"/>
      <c r="I24" s="36"/>
      <c r="J24" s="58"/>
      <c r="K24" s="59"/>
      <c r="L24" s="58"/>
      <c r="M24" s="65"/>
      <c r="N24" s="65"/>
      <c r="O24" s="59"/>
      <c r="P24" s="37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9.75" customHeight="1" x14ac:dyDescent="0.2">
      <c r="A25" s="1"/>
      <c r="B25" s="43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5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1"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</mergeCells>
  <conditionalFormatting sqref="H10:I11">
    <cfRule type="cellIs" dxfId="3" priority="1" operator="equal">
      <formula>"Atrasado"</formula>
    </cfRule>
  </conditionalFormatting>
  <conditionalFormatting sqref="H10:I11">
    <cfRule type="cellIs" dxfId="2" priority="2" operator="equal">
      <formula>"Terminado"</formula>
    </cfRule>
  </conditionalFormatting>
  <conditionalFormatting sqref="H10:I11">
    <cfRule type="cellIs" dxfId="1" priority="3" operator="equal">
      <formula>"En proceso"</formula>
    </cfRule>
  </conditionalFormatting>
  <conditionalFormatting sqref="H10:I11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2.5907489038020919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G303</cp:lastModifiedBy>
  <dcterms:modified xsi:type="dcterms:W3CDTF">2026-06-10T15:14:54Z</dcterms:modified>
</cp:coreProperties>
</file>