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5"/>
    <sheet state="visible" name="Historia de Usuario" sheetId="2" r:id="rId6"/>
  </sheets>
  <definedNames/>
  <calcPr/>
</workbook>
</file>

<file path=xl/sharedStrings.xml><?xml version="1.0" encoding="utf-8"?>
<sst xmlns="http://schemas.openxmlformats.org/spreadsheetml/2006/main" count="107" uniqueCount="83">
  <si>
    <t>Matriz de Marco de Trabajo de HU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</si>
  <si>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</si>
  <si>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</si>
  <si>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</si>
  <si>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</si>
  <si>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</si>
  <si>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</si>
  <si>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</si>
  <si>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</si>
  <si>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</si>
  <si>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</si>
  <si>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</si>
  <si>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</si>
  <si>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</si>
  <si>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</si>
  <si>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 tráfico no responde a peatones en tiempo real</t>
  </si>
  <si>
    <t>El programa debera implementar detección de solicitud peatonal</t>
  </si>
  <si>
    <t>Para que el semáforo pueda detener temporalmente el flujo vehicular de forma segura cuando exista una solicitud de cruce</t>
  </si>
  <si>
    <t xml:space="preserve">Para los  peatones  del cruce vial </t>
  </si>
  <si>
    <t>1. Quiero presionar el  botón de solicitud de cruce
2. Necesito que detecte los eventos en tiempo real
3. Activando transición segura de luces</t>
  </si>
  <si>
    <t>Padilla Christian / Montenegro Nayerli</t>
  </si>
  <si>
    <t>Alta</t>
  </si>
  <si>
    <t>En proceso</t>
  </si>
  <si>
    <t>Presionar el botón y verificar cambio correcto de luces</t>
  </si>
  <si>
    <t>-</t>
  </si>
  <si>
    <t>Sistema de Prioridad Peatonal</t>
  </si>
  <si>
    <t>REQ002</t>
  </si>
  <si>
    <t>Los cambios de luces pueden generar riesgos si no existen tiempos de transición</t>
  </si>
  <si>
    <t>El programa debera diseñar una máquina de estados finita (FSM)</t>
  </si>
  <si>
    <t xml:space="preserve">Para que el sistema controle las transiciones entre las luces verde, amarilla y roja, evitando cambios bruscos o estados peligrosos </t>
  </si>
  <si>
    <t>Conductores y peatones</t>
  </si>
  <si>
    <t>1. Diseñar estados
2. Programar lógica FSM
3. Verificar tiempos de transición</t>
  </si>
  <si>
    <t>Padilla Christian</t>
  </si>
  <si>
    <t>Validar secuencia verde-amarillo-rojo</t>
  </si>
  <si>
    <t>Control FSM del Semáforo</t>
  </si>
  <si>
    <t>REQ003</t>
  </si>
  <si>
    <t>No existe validación visual del estado actual del semáforo</t>
  </si>
  <si>
    <t>El programa debera implementar LEDs de alta luminosidad en las únidades ópticas</t>
  </si>
  <si>
    <t>Para que los usuarios puedan identificar de manera rápida y clara el estado actual del semáforo mediante señales luminosas visibles</t>
  </si>
  <si>
    <t>Usuarios del cruce vial</t>
  </si>
  <si>
    <t>1. Configurar salidas digitales
2. Conectar LEDs
3. Sincronizar con FSM</t>
  </si>
  <si>
    <t>Montenegro Nayerli</t>
  </si>
  <si>
    <t>No iniciado</t>
  </si>
  <si>
    <t>Comprobar encendido correcto de LEDs</t>
  </si>
  <si>
    <t>Interfaz Visual del Semáforo</t>
  </si>
  <si>
    <t>REQ004</t>
  </si>
  <si>
    <t>El sistema puede bloquearse si se utilizan códigos tradicionales</t>
  </si>
  <si>
    <t>El programa debera implementar arquitectura no bloqueante</t>
  </si>
  <si>
    <t>Para que el sistema continúe monitoreando solicitudes peatonales y ejecutando tareas simultáneamente sin detener su funcionamiento</t>
  </si>
  <si>
    <t>Operadores y peatones</t>
  </si>
  <si>
    <t>1. Utilizar millis()
2. Evitar delay()
3. Monitorear entradas continuamente</t>
  </si>
  <si>
    <t>Verificar que el sistema siga funcionando durante solicitudes</t>
  </si>
  <si>
    <t>Monitoreo Continuo del Sistema</t>
  </si>
  <si>
    <t>REQ005</t>
  </si>
  <si>
    <t>La lógica del sistema puede contener errores</t>
  </si>
  <si>
    <t>El programa debera realizar pruebas y depuración en la programación interna</t>
  </si>
  <si>
    <t>Para que el prototipo opere de manera estable, confiable y segura, detectando y corrigiendo posibles errores antes de su implementación final</t>
  </si>
  <si>
    <t>Equipo de desarrollo</t>
  </si>
  <si>
    <t>1. Ejecutar pruebas
2. Corregir errores
3. Validar tiempos de respuesta</t>
  </si>
  <si>
    <t>Comprobar estabilidad durante múltiples ciclos</t>
  </si>
  <si>
    <t>Pruebas y Validación del Sistema</t>
  </si>
  <si>
    <t>REQ006</t>
  </si>
  <si>
    <t>La integración entre hardware y software puede fallar</t>
  </si>
  <si>
    <t>El programa debera integrar Arduino con Code::Blocks</t>
  </si>
  <si>
    <t>Para que la comunicación entre el software desarrollado en C++ y la plataforma Arduino funcione y permita ejecutar la lógica de control del semáforo</t>
  </si>
  <si>
    <t>Desarrolladores del proyecto</t>
  </si>
  <si>
    <t>1. Configurar SDK Arduino
2. Compilar firmware
3. Transferir programa al hardware</t>
  </si>
  <si>
    <t>Validar comunicación entre IDE y Arduino</t>
  </si>
  <si>
    <t>Integración Hardware-Software</t>
  </si>
  <si>
    <t xml:space="preserve">Media </t>
  </si>
  <si>
    <t>Baja</t>
  </si>
  <si>
    <t>Terminado</t>
  </si>
  <si>
    <t>Atrasado</t>
  </si>
  <si>
    <t>HISTORIA DE USUARIO (HU)</t>
  </si>
  <si>
    <t>ITEM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</si>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</sst>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b/>
      <i/>
      <u/>
      <sz val="16.0"/>
      <color theme="1"/>
      <name val="Calibri"/>
    </font>
    <font>
      <b/>
      <i/>
      <sz val="11.0"/>
      <color rgb="FF9C6500"/>
      <name val="Calibri"/>
    </font>
    <font>
      <b/>
      <i/>
      <sz val="11.0"/>
      <color rgb="FFFF0000"/>
      <name val="Calibri"/>
    </font>
    <font>
      <sz val="10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8">
    <border/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 style="thin">
        <color rgb="FF7B7B7B"/>
      </left>
      <right style="thin">
        <color rgb="FF7B7B7B"/>
      </right>
      <top style="thin">
        <color rgb="FF7B7B7B"/>
      </top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top style="thin">
        <color rgb="FF7B7B7B"/>
      </top>
      <bottom style="thin">
        <color rgb="FF7B7B7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B7B7B"/>
      </right>
      <top style="thin">
        <color rgb="FF7B7B7B"/>
      </top>
      <bottom style="thin">
        <color rgb="FF7B7B7B"/>
      </bottom>
    </border>
    <border>
      <right style="thin">
        <color rgb="FF7B7B7B"/>
      </right>
      <top style="thin">
        <color rgb="FF7B7B7B"/>
      </top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3" fontId="6" numFmtId="0" xfId="0" applyAlignment="1" applyBorder="1" applyFill="1" applyFont="1">
      <alignment readingOrder="0" shrinkToFit="0" vertical="center" wrapText="1"/>
    </xf>
    <xf borderId="3" fillId="0" fontId="6" numFmtId="164" xfId="0" applyAlignment="1" applyBorder="1" applyFont="1" applyNumberForma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7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6" numFmtId="164" xfId="0" applyAlignment="1" applyBorder="1" applyFont="1" applyNumberForma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6" numFmtId="164" xfId="0" applyAlignment="1" applyBorder="1" applyFont="1" applyNumberForma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6" numFmtId="164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0" fontId="10" numFmtId="0" xfId="0" applyBorder="1" applyFont="1"/>
    <xf borderId="11" fillId="0" fontId="10" numFmtId="0" xfId="0" applyBorder="1" applyFont="1"/>
    <xf borderId="0" fillId="0" fontId="8" numFmtId="0" xfId="0" applyAlignment="1" applyFont="1">
      <alignment horizontal="center" shrinkToFit="0" vertical="center" wrapText="1"/>
    </xf>
    <xf borderId="12" fillId="4" fontId="1" numFmtId="0" xfId="0" applyBorder="1" applyFont="1"/>
    <xf borderId="13" fillId="4" fontId="8" numFmtId="0" xfId="0" applyAlignment="1" applyBorder="1" applyFont="1">
      <alignment horizontal="left" shrinkToFit="0" vertical="center" wrapText="1"/>
    </xf>
    <xf borderId="13" fillId="4" fontId="2" numFmtId="0" xfId="0" applyBorder="1" applyFont="1"/>
    <xf borderId="13" fillId="4" fontId="1" numFmtId="0" xfId="0" applyBorder="1" applyFont="1"/>
    <xf borderId="14" fillId="4" fontId="1" numFmtId="0" xfId="0" applyBorder="1" applyFont="1"/>
    <xf borderId="15" fillId="4" fontId="1" numFmtId="0" xfId="0" applyBorder="1" applyFont="1"/>
    <xf borderId="5" fillId="5" fontId="11" numFmtId="0" xfId="0" applyAlignment="1" applyBorder="1" applyFill="1" applyFont="1">
      <alignment horizontal="center" vertical="center"/>
    </xf>
    <xf borderId="16" fillId="4" fontId="12" numFmtId="0" xfId="0" applyAlignment="1" applyBorder="1" applyFont="1">
      <alignment vertical="center"/>
    </xf>
    <xf borderId="9" fillId="5" fontId="11" numFmtId="0" xfId="0" applyAlignment="1" applyBorder="1" applyFont="1">
      <alignment horizontal="center" vertical="center"/>
    </xf>
    <xf borderId="16" fillId="4" fontId="1" numFmtId="0" xfId="0" applyBorder="1" applyFont="1"/>
    <xf borderId="17" fillId="4" fontId="1" numFmtId="0" xfId="0" applyBorder="1" applyFont="1"/>
    <xf borderId="5" fillId="3" fontId="13" numFmtId="0" xfId="0" applyAlignment="1" applyBorder="1" applyFont="1">
      <alignment horizontal="center" vertical="center"/>
    </xf>
    <xf borderId="16" fillId="4" fontId="2" numFmtId="0" xfId="0" applyAlignment="1" applyBorder="1" applyFont="1">
      <alignment shrinkToFit="0" vertical="center" wrapText="1"/>
    </xf>
    <xf borderId="9" fillId="3" fontId="2" numFmtId="0" xfId="0" applyAlignment="1" applyBorder="1" applyFont="1">
      <alignment horizontal="center" vertical="center"/>
    </xf>
    <xf borderId="16" fillId="4" fontId="2" numFmtId="0" xfId="0" applyAlignment="1" applyBorder="1" applyFont="1">
      <alignment vertical="center"/>
    </xf>
    <xf borderId="16" fillId="4" fontId="13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 vertical="center"/>
    </xf>
    <xf borderId="18" fillId="6" fontId="11" numFmtId="0" xfId="0" applyAlignment="1" applyBorder="1" applyFill="1" applyFont="1">
      <alignment horizontal="center" vertical="center"/>
    </xf>
    <xf borderId="19" fillId="3" fontId="2" numFmtId="0" xfId="0" applyAlignment="1" applyBorder="1" applyFont="1">
      <alignment horizontal="center" shrinkToFit="0" vertical="center" wrapText="1"/>
    </xf>
    <xf borderId="20" fillId="0" fontId="10" numFmtId="0" xfId="0" applyBorder="1" applyFont="1"/>
    <xf borderId="21" fillId="0" fontId="10" numFmtId="0" xfId="0" applyBorder="1" applyFont="1"/>
    <xf borderId="19" fillId="3" fontId="2" numFmtId="0" xfId="0" applyAlignment="1" applyBorder="1" applyFont="1">
      <alignment horizontal="center" vertical="center"/>
    </xf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19" fillId="7" fontId="14" numFmtId="0" xfId="0" applyAlignment="1" applyBorder="1" applyFill="1" applyFont="1">
      <alignment horizontal="center" vertical="center"/>
    </xf>
    <xf borderId="29" fillId="2" fontId="13" numFmtId="0" xfId="0" applyAlignment="1" applyBorder="1" applyFont="1">
      <alignment horizontal="center" vertical="center"/>
    </xf>
    <xf borderId="30" fillId="0" fontId="10" numFmtId="0" xfId="0" applyBorder="1" applyFont="1"/>
    <xf borderId="31" fillId="0" fontId="10" numFmtId="0" xfId="0" applyBorder="1" applyFont="1"/>
    <xf borderId="32" fillId="0" fontId="10" numFmtId="0" xfId="0" applyBorder="1" applyFont="1"/>
    <xf borderId="33" fillId="0" fontId="10" numFmtId="0" xfId="0" applyBorder="1" applyFont="1"/>
    <xf borderId="34" fillId="0" fontId="10" numFmtId="0" xfId="0" applyBorder="1" applyFont="1"/>
    <xf borderId="19" fillId="5" fontId="11" numFmtId="0" xfId="0" applyAlignment="1" applyBorder="1" applyFont="1">
      <alignment horizontal="center" vertical="center"/>
    </xf>
    <xf borderId="35" fillId="4" fontId="1" numFmtId="0" xfId="0" applyBorder="1" applyFont="1"/>
    <xf borderId="36" fillId="4" fontId="1" numFmtId="0" xfId="0" applyBorder="1" applyFont="1"/>
    <xf borderId="37" fillId="4" fontId="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2.0"/>
    <col customWidth="1" min="3" max="5" width="35.0"/>
    <col customWidth="1" min="6" max="6" width="28.0"/>
    <col customWidth="1" min="7" max="7" width="45.0"/>
    <col customWidth="1" min="8" max="8" width="30.0"/>
    <col customWidth="1" min="9" max="10" width="18.0"/>
    <col customWidth="1" min="11" max="11" width="14.0"/>
    <col customWidth="1" min="12" max="12" width="15.0"/>
    <col customWidth="1" min="13" max="13" width="40.0"/>
    <col customWidth="1" min="14" max="14" width="18.0"/>
    <col customWidth="1" min="15" max="15" width="35.0"/>
    <col customWidth="1" min="16" max="26" width="9.38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5" t="s">
        <v>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1"/>
      <c r="C4" s="1"/>
      <c r="D4" s="1"/>
      <c r="E4" s="1"/>
      <c r="F4" s="1"/>
      <c r="G4" s="1"/>
      <c r="H4" s="6"/>
      <c r="I4" s="2"/>
      <c r="J4" s="2"/>
      <c r="K4" s="3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8.75" customHeight="1">
      <c r="A5" s="1"/>
      <c r="B5" s="7"/>
      <c r="C5" s="7" t="s">
        <v>1</v>
      </c>
      <c r="D5" s="8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2.0" customHeight="1">
      <c r="A6" s="1"/>
      <c r="B6" s="9" t="s">
        <v>14</v>
      </c>
      <c r="C6" s="10" t="s">
        <v>15</v>
      </c>
      <c r="D6" s="11" t="s">
        <v>16</v>
      </c>
      <c r="E6" s="10" t="s">
        <v>17</v>
      </c>
      <c r="F6" s="10" t="s">
        <v>18</v>
      </c>
      <c r="G6" s="10" t="s">
        <v>19</v>
      </c>
      <c r="H6" s="10" t="s">
        <v>20</v>
      </c>
      <c r="I6" s="10">
        <v>5.0</v>
      </c>
      <c r="J6" s="12">
        <v>46160.0</v>
      </c>
      <c r="K6" s="13" t="s">
        <v>21</v>
      </c>
      <c r="L6" s="14" t="s">
        <v>22</v>
      </c>
      <c r="M6" s="15" t="s">
        <v>23</v>
      </c>
      <c r="N6" s="10" t="s">
        <v>24</v>
      </c>
      <c r="O6" s="10" t="s">
        <v>25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3.5" customHeight="1">
      <c r="A7" s="1"/>
      <c r="B7" s="9" t="s">
        <v>26</v>
      </c>
      <c r="C7" s="10" t="s">
        <v>27</v>
      </c>
      <c r="D7" s="16" t="s">
        <v>28</v>
      </c>
      <c r="E7" s="10" t="s">
        <v>29</v>
      </c>
      <c r="F7" s="14" t="s">
        <v>30</v>
      </c>
      <c r="G7" s="10" t="s">
        <v>31</v>
      </c>
      <c r="H7" s="10" t="s">
        <v>32</v>
      </c>
      <c r="I7" s="10">
        <v>6.0</v>
      </c>
      <c r="J7" s="12">
        <v>46162.0</v>
      </c>
      <c r="K7" s="10" t="s">
        <v>21</v>
      </c>
      <c r="L7" s="10" t="s">
        <v>22</v>
      </c>
      <c r="M7" s="10" t="s">
        <v>33</v>
      </c>
      <c r="N7" s="10" t="s">
        <v>24</v>
      </c>
      <c r="O7" s="16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17"/>
      <c r="B8" s="9" t="s">
        <v>35</v>
      </c>
      <c r="C8" s="18" t="s">
        <v>36</v>
      </c>
      <c r="D8" s="19" t="s">
        <v>37</v>
      </c>
      <c r="E8" s="9" t="s">
        <v>38</v>
      </c>
      <c r="F8" s="9" t="s">
        <v>39</v>
      </c>
      <c r="G8" s="9" t="s">
        <v>40</v>
      </c>
      <c r="H8" s="9" t="s">
        <v>41</v>
      </c>
      <c r="I8" s="9">
        <v>4.0</v>
      </c>
      <c r="J8" s="20">
        <v>46165.0</v>
      </c>
      <c r="K8" s="16" t="s">
        <v>21</v>
      </c>
      <c r="L8" s="10" t="s">
        <v>42</v>
      </c>
      <c r="M8" s="9" t="s">
        <v>43</v>
      </c>
      <c r="N8" s="14" t="s">
        <v>24</v>
      </c>
      <c r="O8" s="9" t="s">
        <v>44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78.0" customHeight="1">
      <c r="A9" s="1"/>
      <c r="B9" s="9" t="s">
        <v>45</v>
      </c>
      <c r="C9" s="14" t="s">
        <v>46</v>
      </c>
      <c r="D9" s="21" t="s">
        <v>47</v>
      </c>
      <c r="E9" s="14" t="s">
        <v>48</v>
      </c>
      <c r="F9" s="9" t="s">
        <v>49</v>
      </c>
      <c r="G9" s="14" t="s">
        <v>50</v>
      </c>
      <c r="H9" s="14" t="s">
        <v>32</v>
      </c>
      <c r="I9" s="14">
        <v>7.0</v>
      </c>
      <c r="J9" s="20">
        <v>46167.0</v>
      </c>
      <c r="K9" s="10" t="s">
        <v>21</v>
      </c>
      <c r="L9" s="10" t="s">
        <v>22</v>
      </c>
      <c r="M9" s="14" t="s">
        <v>51</v>
      </c>
      <c r="N9" s="14" t="s">
        <v>24</v>
      </c>
      <c r="O9" s="21" t="s">
        <v>52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8.0" customHeight="1">
      <c r="A10" s="1"/>
      <c r="B10" s="9" t="s">
        <v>53</v>
      </c>
      <c r="C10" s="14" t="s">
        <v>54</v>
      </c>
      <c r="D10" s="21" t="s">
        <v>55</v>
      </c>
      <c r="E10" s="14" t="s">
        <v>56</v>
      </c>
      <c r="F10" s="14" t="s">
        <v>57</v>
      </c>
      <c r="G10" s="14" t="s">
        <v>58</v>
      </c>
      <c r="H10" s="14" t="s">
        <v>41</v>
      </c>
      <c r="I10" s="14">
        <v>5.0</v>
      </c>
      <c r="J10" s="22">
        <v>46171.0</v>
      </c>
      <c r="K10" s="16" t="s">
        <v>21</v>
      </c>
      <c r="L10" s="10" t="s">
        <v>42</v>
      </c>
      <c r="M10" s="14" t="s">
        <v>59</v>
      </c>
      <c r="N10" s="14" t="s">
        <v>24</v>
      </c>
      <c r="O10" s="14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6.0" customHeight="1">
      <c r="A11" s="1"/>
      <c r="B11" s="23" t="s">
        <v>61</v>
      </c>
      <c r="C11" s="14" t="s">
        <v>62</v>
      </c>
      <c r="D11" s="21" t="s">
        <v>63</v>
      </c>
      <c r="E11" s="14" t="s">
        <v>64</v>
      </c>
      <c r="F11" s="23" t="s">
        <v>65</v>
      </c>
      <c r="G11" s="14" t="s">
        <v>66</v>
      </c>
      <c r="H11" s="14" t="s">
        <v>20</v>
      </c>
      <c r="I11" s="14">
        <v>6.0</v>
      </c>
      <c r="J11" s="24">
        <v>46166.0</v>
      </c>
      <c r="K11" s="23" t="s">
        <v>21</v>
      </c>
      <c r="L11" s="14" t="s">
        <v>22</v>
      </c>
      <c r="M11" s="14" t="s">
        <v>67</v>
      </c>
      <c r="N11" s="14" t="s">
        <v>24</v>
      </c>
      <c r="O11" s="14" t="s">
        <v>68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9.75" customHeight="1">
      <c r="A12" s="1"/>
      <c r="B12" s="25"/>
      <c r="C12" s="26"/>
      <c r="D12" s="26"/>
      <c r="E12" s="26"/>
      <c r="F12" s="26"/>
      <c r="G12" s="26"/>
      <c r="H12" s="26"/>
      <c r="I12" s="26"/>
      <c r="J12" s="27"/>
      <c r="K12" s="26"/>
      <c r="L12" s="26"/>
      <c r="M12" s="26"/>
      <c r="N12" s="26"/>
      <c r="O12" s="2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2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5.25" customHeight="1">
      <c r="A14" s="1"/>
      <c r="B14" s="1"/>
      <c r="C14" s="1"/>
      <c r="D14" s="1"/>
      <c r="E14" s="1"/>
      <c r="F14" s="1"/>
      <c r="G14" s="1"/>
      <c r="H14" s="1"/>
      <c r="I14" s="2"/>
      <c r="J14" s="2"/>
      <c r="K14" s="28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4.5" customHeight="1">
      <c r="A15" s="1"/>
      <c r="B15" s="1"/>
      <c r="C15" s="1"/>
      <c r="D15" s="1"/>
      <c r="E15" s="1"/>
      <c r="F15" s="1"/>
      <c r="G15" s="1"/>
      <c r="H15" s="1"/>
      <c r="I15" s="2"/>
      <c r="J15" s="2"/>
      <c r="K15" s="28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1"/>
      <c r="C16" s="1"/>
      <c r="D16" s="1"/>
      <c r="E16" s="1"/>
      <c r="F16" s="1"/>
      <c r="G16" s="1"/>
      <c r="H16" s="1"/>
      <c r="I16" s="2"/>
      <c r="J16" s="2"/>
      <c r="K16" s="3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1"/>
      <c r="C17" s="1"/>
      <c r="D17" s="1"/>
      <c r="E17" s="1"/>
      <c r="F17" s="1"/>
      <c r="G17" s="1"/>
      <c r="H17" s="1"/>
      <c r="I17" s="2"/>
      <c r="J17" s="2"/>
      <c r="K17" s="3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2"/>
      <c r="J19" s="2"/>
      <c r="K19" s="29" t="s">
        <v>21</v>
      </c>
      <c r="L19" s="30" t="s">
        <v>42</v>
      </c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2"/>
      <c r="J20" s="2"/>
      <c r="K20" s="29" t="s">
        <v>69</v>
      </c>
      <c r="L20" s="30" t="s">
        <v>22</v>
      </c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29" t="s">
        <v>70</v>
      </c>
      <c r="L21" s="30" t="s">
        <v>71</v>
      </c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29"/>
      <c r="L22" s="30" t="s">
        <v>72</v>
      </c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O3"/>
  </mergeCells>
  <dataValidations>
    <dataValidation type="list" allowBlank="1" showErrorMessage="1" sqref="L6:L12">
      <formula1>$L$19:$L$22</formula1>
    </dataValidation>
    <dataValidation type="list" allowBlank="1" showErrorMessage="1" sqref="K6:K12">
      <formula1>$K$19:$K$21</formula1>
    </dataValidation>
  </dataValidations>
  <printOptions horizontalCentered="1"/>
  <pageMargins bottom="1.917154188813548" footer="0.0" header="0.0" left="0.3149606299212598" right="0.3149606299212598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hidden="1" customHeight="1">
      <c r="A4" s="1"/>
      <c r="B4" s="1"/>
      <c r="C4" s="31"/>
      <c r="D4" s="31"/>
      <c r="E4" s="31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hidden="1" customHeight="1">
      <c r="A5" s="1"/>
      <c r="B5" s="1"/>
      <c r="C5" s="31"/>
      <c r="D5" s="31"/>
      <c r="E5" s="31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.75" customHeight="1">
      <c r="A6" s="1"/>
      <c r="B6" s="32" t="s">
        <v>73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4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1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1"/>
      <c r="B8" s="36"/>
      <c r="C8" s="37"/>
      <c r="D8" s="37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40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41"/>
      <c r="C9" s="42" t="s">
        <v>74</v>
      </c>
      <c r="D9" s="43"/>
      <c r="E9" s="44" t="s">
        <v>75</v>
      </c>
      <c r="F9" s="34"/>
      <c r="G9" s="43"/>
      <c r="H9" s="44" t="s">
        <v>10</v>
      </c>
      <c r="I9" s="34"/>
      <c r="J9" s="45"/>
      <c r="K9" s="45"/>
      <c r="L9" s="45"/>
      <c r="M9" s="45"/>
      <c r="N9" s="45"/>
      <c r="O9" s="45"/>
      <c r="P9" s="46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41"/>
      <c r="C10" s="47" t="s">
        <v>14</v>
      </c>
      <c r="D10" s="48"/>
      <c r="E10" s="49" t="str">
        <f>VLOOKUP(C10,'Formato descripción HU'!B6:O15,5,0)</f>
        <v>Para los  peatones  del cruce vial </v>
      </c>
      <c r="F10" s="34"/>
      <c r="G10" s="50"/>
      <c r="H10" s="49" t="str">
        <f>VLOOKUP(C10,'Formato descripción HU'!B6:O15,11,0)</f>
        <v>En proceso</v>
      </c>
      <c r="I10" s="34"/>
      <c r="J10" s="50"/>
      <c r="K10" s="45"/>
      <c r="L10" s="45"/>
      <c r="M10" s="45"/>
      <c r="N10" s="45"/>
      <c r="O10" s="45"/>
      <c r="P10" s="4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.75" customHeight="1">
      <c r="A11" s="1"/>
      <c r="B11" s="41"/>
      <c r="C11" s="51"/>
      <c r="D11" s="48"/>
      <c r="E11" s="52"/>
      <c r="F11" s="52"/>
      <c r="G11" s="50"/>
      <c r="H11" s="52"/>
      <c r="I11" s="52"/>
      <c r="J11" s="50"/>
      <c r="K11" s="52"/>
      <c r="L11" s="52"/>
      <c r="M11" s="45"/>
      <c r="N11" s="52"/>
      <c r="O11" s="52"/>
      <c r="P11" s="46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41"/>
      <c r="C12" s="42" t="s">
        <v>76</v>
      </c>
      <c r="D12" s="48"/>
      <c r="E12" s="44" t="s">
        <v>9</v>
      </c>
      <c r="F12" s="34"/>
      <c r="G12" s="50"/>
      <c r="H12" s="44" t="s">
        <v>77</v>
      </c>
      <c r="I12" s="34"/>
      <c r="J12" s="50"/>
      <c r="K12" s="52"/>
      <c r="L12" s="52"/>
      <c r="M12" s="45"/>
      <c r="N12" s="52"/>
      <c r="O12" s="52"/>
      <c r="P12" s="46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41"/>
      <c r="C13" s="47">
        <f>VLOOKUP('Historia de Usuario'!C10,'Formato descripción HU'!B6:O15,8,0)</f>
        <v>5</v>
      </c>
      <c r="D13" s="48"/>
      <c r="E13" s="49" t="str">
        <f>VLOOKUP(C10,'Formato descripción HU'!B6:O15,10,0)</f>
        <v>Alta</v>
      </c>
      <c r="F13" s="34"/>
      <c r="G13" s="50"/>
      <c r="H13" s="49" t="str">
        <f>VLOOKUP(C10,'Formato descripción HU'!B6:O15,7,0)</f>
        <v>Padilla Christian / Montenegro Nayerli</v>
      </c>
      <c r="I13" s="34"/>
      <c r="J13" s="50"/>
      <c r="K13" s="52"/>
      <c r="L13" s="52"/>
      <c r="M13" s="45"/>
      <c r="N13" s="52"/>
      <c r="O13" s="52"/>
      <c r="P13" s="46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1"/>
      <c r="B14" s="41"/>
      <c r="C14" s="45"/>
      <c r="D14" s="48"/>
      <c r="E14" s="45"/>
      <c r="F14" s="45"/>
      <c r="G14" s="50"/>
      <c r="H14" s="50"/>
      <c r="I14" s="45"/>
      <c r="J14" s="45"/>
      <c r="K14" s="45"/>
      <c r="L14" s="45"/>
      <c r="M14" s="45"/>
      <c r="N14" s="45"/>
      <c r="O14" s="45"/>
      <c r="P14" s="46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41"/>
      <c r="C15" s="53" t="s">
        <v>78</v>
      </c>
      <c r="D15" s="54" t="str">
        <f>VLOOKUP(C10,'Formato descripción HU'!B6:O15,3,0)</f>
        <v>El programa debera implementar detección de solicitud peatonal</v>
      </c>
      <c r="E15" s="55"/>
      <c r="F15" s="45"/>
      <c r="G15" s="53" t="s">
        <v>79</v>
      </c>
      <c r="H15" s="54" t="str">
        <f>VLOOKUP(C10,'Formato descripción HU'!B6:O15,4,0)</f>
        <v>Para que el semáforo pueda detener temporalmente el flujo vehicular de forma segura cuando exista una solicitud de cruce</v>
      </c>
      <c r="I15" s="56"/>
      <c r="J15" s="55"/>
      <c r="K15" s="45"/>
      <c r="L15" s="53" t="s">
        <v>80</v>
      </c>
      <c r="M15" s="57" t="str">
        <f>VLOOKUP(C10,'Formato descripción HU'!B6:O15,6,0)</f>
        <v>1. Quiero presionar el  botón de solicitud de cruce
2. Necesito que detecte los eventos en tiempo real
3. Activando transición segura de luces</v>
      </c>
      <c r="N15" s="56"/>
      <c r="O15" s="55"/>
      <c r="P15" s="46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41"/>
      <c r="C16" s="58"/>
      <c r="D16" s="59"/>
      <c r="E16" s="60"/>
      <c r="F16" s="45"/>
      <c r="G16" s="58"/>
      <c r="H16" s="59"/>
      <c r="J16" s="60"/>
      <c r="K16" s="45"/>
      <c r="L16" s="58"/>
      <c r="M16" s="59"/>
      <c r="O16" s="60"/>
      <c r="P16" s="46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41"/>
      <c r="C17" s="61"/>
      <c r="D17" s="62"/>
      <c r="E17" s="63"/>
      <c r="F17" s="45"/>
      <c r="G17" s="61"/>
      <c r="H17" s="62"/>
      <c r="I17" s="64"/>
      <c r="J17" s="63"/>
      <c r="K17" s="45"/>
      <c r="L17" s="61"/>
      <c r="M17" s="62"/>
      <c r="N17" s="64"/>
      <c r="O17" s="63"/>
      <c r="P17" s="46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75" customHeight="1">
      <c r="A18" s="1"/>
      <c r="B18" s="41"/>
      <c r="C18" s="45"/>
      <c r="D18" s="45"/>
      <c r="E18" s="45"/>
      <c r="F18" s="45"/>
      <c r="G18" s="50"/>
      <c r="H18" s="50"/>
      <c r="I18" s="50"/>
      <c r="J18" s="45"/>
      <c r="K18" s="45"/>
      <c r="L18" s="45"/>
      <c r="M18" s="45"/>
      <c r="N18" s="45"/>
      <c r="O18" s="45"/>
      <c r="P18" s="46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1"/>
      <c r="C19" s="65" t="s">
        <v>81</v>
      </c>
      <c r="D19" s="55"/>
      <c r="E19" s="66" t="str">
        <f>VLOOKUP(C10,'Formato descripción HU'!B6:O15,14,0)</f>
        <v>Sistema de Prioridad Peatonal</v>
      </c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46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41"/>
      <c r="C20" s="62"/>
      <c r="D20" s="63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46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75" customHeight="1">
      <c r="A21" s="1"/>
      <c r="B21" s="41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41"/>
      <c r="C22" s="72" t="s">
        <v>82</v>
      </c>
      <c r="D22" s="55"/>
      <c r="E22" s="57" t="str">
        <f>VLOOKUP(C10,'Formato descripción HU'!B6:O15,12,0)</f>
        <v>Presionar el botón y verificar cambio correcto de luces</v>
      </c>
      <c r="F22" s="56"/>
      <c r="G22" s="56"/>
      <c r="H22" s="55"/>
      <c r="I22" s="45"/>
      <c r="J22" s="72" t="s">
        <v>12</v>
      </c>
      <c r="K22" s="55"/>
      <c r="L22" s="57" t="str">
        <f>VLOOKUP(C10,'Formato descripción HU'!B6:O15,13,0)</f>
        <v>-</v>
      </c>
      <c r="M22" s="56"/>
      <c r="N22" s="56"/>
      <c r="O22" s="55"/>
      <c r="P22" s="46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41"/>
      <c r="C23" s="59"/>
      <c r="D23" s="60"/>
      <c r="E23" s="59"/>
      <c r="H23" s="60"/>
      <c r="I23" s="45"/>
      <c r="J23" s="59"/>
      <c r="K23" s="60"/>
      <c r="L23" s="59"/>
      <c r="O23" s="60"/>
      <c r="P23" s="46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1"/>
      <c r="C24" s="62"/>
      <c r="D24" s="63"/>
      <c r="E24" s="62"/>
      <c r="F24" s="64"/>
      <c r="G24" s="64"/>
      <c r="H24" s="63"/>
      <c r="I24" s="45"/>
      <c r="J24" s="62"/>
      <c r="K24" s="63"/>
      <c r="L24" s="62"/>
      <c r="M24" s="64"/>
      <c r="N24" s="64"/>
      <c r="O24" s="63"/>
      <c r="P24" s="46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75" customHeight="1">
      <c r="A25" s="1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printOptions horizontalCentered="1"/>
  <pageMargins bottom="2.590748903802092" footer="0.0" header="0.0" left="0.7086614173228347" right="0.7086614173228347" top="0.7480314960629921"/>
  <pageSetup paperSize="9" orientation="landscape"/>
  <drawing r:id="rId1"/>
</worksheet>
</file>